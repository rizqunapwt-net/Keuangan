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<sst xmlns="http://schemas.openxmlformats.org/spreadsheetml/2006/main" count="4405" uniqueCount="1296">
  <si>
    <t>NO</t>
  </si>
  <si>
    <t>JUDUL</t>
  </si>
  <si>
    <t>PENULIS</t>
  </si>
  <si>
    <t>ISBN</t>
  </si>
  <si>
    <t>NO WA</t>
  </si>
  <si>
    <t>TAHUN</t>
  </si>
  <si>
    <t>PENERBIT</t>
  </si>
  <si>
    <t>KATEGORI</t>
  </si>
  <si>
    <t>UKURAN</t>
  </si>
  <si>
    <t>HAL</t>
  </si>
  <si>
    <t>CETAK</t>
  </si>
  <si>
    <t>KERTAS</t>
  </si>
  <si>
    <t>FINISHING</t>
  </si>
  <si>
    <t>HARGA PRODUKSI</t>
  </si>
  <si>
    <t>HARGA JUAL</t>
  </si>
  <si>
    <t>ISI</t>
  </si>
  <si>
    <t>COVER</t>
  </si>
  <si>
    <t>Al Qur’an dalam praktik sosial ekonomi : hafidzah sebagai agen transformasi Islam</t>
  </si>
  <si>
    <t>Masngudi, AM Ismatulloh, Aniroh</t>
  </si>
  <si>
    <t>978-623-8608-96-6</t>
  </si>
  <si>
    <t>0813-3634-1776</t>
  </si>
  <si>
    <t>Rizquna</t>
  </si>
  <si>
    <t>A5</t>
  </si>
  <si>
    <t>BW</t>
  </si>
  <si>
    <t>FC</t>
  </si>
  <si>
    <t>Soft Cover</t>
  </si>
  <si>
    <t>Bookpaper</t>
  </si>
  <si>
    <t>PB</t>
  </si>
  <si>
    <t>Beyond memorization : higher-order thinking and the role of ChatGPT in learning</t>
  </si>
  <si>
    <t>Winia Waziana, Widi Andewi, Damar Wibisono, Tommy Hastomo, Muhamad Muslihudin</t>
  </si>
  <si>
    <t>978-623-8608-95-9</t>
  </si>
  <si>
    <t>Formal dan hidden curriculum : konsep dan implementasi mewujudkan profil lulusan berkarakter</t>
  </si>
  <si>
    <t>Dr. Muhammad Nurhalim, M.Pd., Dr. Ahsan Hasbullah, M.Pd.</t>
  </si>
  <si>
    <t>978-623-8608-94-2</t>
  </si>
  <si>
    <t>0823-2432-4021</t>
  </si>
  <si>
    <t>Internationalizing State Islam Universitas in Indonesia : experience from Australia</t>
  </si>
  <si>
    <t>Sibawaihi, Dwi Ratnasari, Sri Purnami, Melanie Brooks</t>
  </si>
  <si>
    <t>978-623-8608-93-5</t>
  </si>
  <si>
    <t>0812-2773-0049</t>
  </si>
  <si>
    <t>AI untuk BIPA : strategi baru pembelajaran pelafalan bahasa Indonesia yang efektif</t>
  </si>
  <si>
    <t>Yuyun Setiawan Putra, Hikma Tansilo, Tommy Hastomo, Andini Septama Sari</t>
  </si>
  <si>
    <t>978-623-8608-92-8</t>
  </si>
  <si>
    <t>Empowering independent learners with GenAI in English learning</t>
  </si>
  <si>
    <t>Diyah Trinovita, Eva Nurchurifiani, Tommy Hastomo, Widi Andewi, Muhamad Hasbi</t>
  </si>
  <si>
    <t>978-623-8608-91-1</t>
  </si>
  <si>
    <t>Teaching, research, and community service : a tridharma guide for English educators</t>
  </si>
  <si>
    <t>Muhamad Hasbi, Sri Wahyuningsih, Ika Apriani Fata, Neneng Islamiah, Arjulayana dkk</t>
  </si>
  <si>
    <t>978-623-8608-90-4</t>
  </si>
  <si>
    <t>0823-3505-0578</t>
  </si>
  <si>
    <t>AI literacy in language education : empowering the next generation of teachers</t>
  </si>
  <si>
    <t>Febriyanti, Eva Nurchurifiani, Tommy Hastomo, Andri Wicaksono, Sukma Septian Nasution</t>
  </si>
  <si>
    <t>978-623-8608-89-8</t>
  </si>
  <si>
    <t>Keamanan sistem informasi : konsep, implementasi dan praktik modern</t>
  </si>
  <si>
    <t>Mochammad Hasymi Somaida, S.T., M.M.S.I., Beny Riswanto, M.Kom., Kusnana, M.Kom., Ratih, S.Kom., M.Kom., Slamet Cahyo Edy Sahputro, M.Kom.</t>
  </si>
  <si>
    <t>978-623-8608-88-1</t>
  </si>
  <si>
    <t>0896-4898-5071</t>
  </si>
  <si>
    <t>Revitalisasi pamali : dakwah, kearifan lokal, dan modernitas</t>
  </si>
  <si>
    <t>Aris Saefulloh, Rofina Dienasari, Annisa Iktikafani</t>
  </si>
  <si>
    <t>978-623-8608-87-4</t>
  </si>
  <si>
    <t>0811-434-260</t>
  </si>
  <si>
    <t>English for mathematics learning islamic context-based</t>
  </si>
  <si>
    <t>Maria Ulpah dan Muflihah</t>
  </si>
  <si>
    <t>978-623-8608-86-7</t>
  </si>
  <si>
    <t>Dunia afeksi</t>
  </si>
  <si>
    <t>Dr. Zaim Elmubarok, M.A</t>
  </si>
  <si>
    <t>978-623-8608-85-0</t>
  </si>
  <si>
    <t>0815-7540-4785</t>
  </si>
  <si>
    <t>Harmoni terpadu : integrasi profesi mewujudkan kesejahteraan spiritual dan kesehatan mental</t>
  </si>
  <si>
    <t>Henie Kurniawati, Kurnia Sari Wiwaha, Shaula Astika Putri</t>
  </si>
  <si>
    <t>978-623-8608-84-3</t>
  </si>
  <si>
    <t>0812-2767-398</t>
  </si>
  <si>
    <t>Model damai : penguatan kesehatan mental mahasiswa berbasis nilai spiritual dan moderasi beragama</t>
  </si>
  <si>
    <t>Dr. Henie Kurniawati, M.A., Psikolog., Kurnia Sari Wiwaha, M.Ag., Nunung Rahmawati</t>
  </si>
  <si>
    <t>978-623-8608-83-6</t>
  </si>
  <si>
    <t>UNESCO</t>
  </si>
  <si>
    <t>Pengembangan kurikulum</t>
  </si>
  <si>
    <t>Rini Anita Putri, M.Pd., Dr. Pardan Prasetyo, M.Pd., Dr. Yunea Kusuma Winanti, S.S., M.Pd.</t>
  </si>
  <si>
    <t>978-623-8608-82-9</t>
  </si>
  <si>
    <t>Cerdas berinvestasi : untuk pekerja migran indonesia</t>
  </si>
  <si>
    <t>Prof. Dr. H. Fathul Aminudin Aziz, M.M., Hastin Tri Utami, SE., M.Si., Ak.</t>
  </si>
  <si>
    <t>978-623-8608-81-2</t>
  </si>
  <si>
    <t>0822-2011-1056</t>
  </si>
  <si>
    <t>Ayat sunyi</t>
  </si>
  <si>
    <t>A. Zulfa Muntafa</t>
  </si>
  <si>
    <t>978-623-8608-80-5</t>
  </si>
  <si>
    <t>0856-0013-6794</t>
  </si>
  <si>
    <t>Assesment pembelajaran</t>
  </si>
  <si>
    <t>Maria Ulfa, S.E., M.Pd., Dr. Khasanah, M.Pd., Dr. Drs. Samsudin, S.H., M.H., M.Pd</t>
  </si>
  <si>
    <t>978-623-8608-79-9</t>
  </si>
  <si>
    <t>Desain pembelajaran</t>
  </si>
  <si>
    <t>Handri Arba Ayub, M.Pd., Dr. Syarifah, M.Pd., Anugrah Lestari, M.Pd</t>
  </si>
  <si>
    <t>978-623-8608-78-2</t>
  </si>
  <si>
    <t>Studi Islam</t>
  </si>
  <si>
    <t>Ika Mudrika Wati, S.H.I., M.Pd., Dr. Moh. Fahr Yasin, M.Pd.</t>
  </si>
  <si>
    <t>978-623-8608-77-5</t>
  </si>
  <si>
    <t>0852-8787-5978</t>
  </si>
  <si>
    <t>Deep learning : a handbook for english language teachers</t>
  </si>
  <si>
    <t>Muhamad Hasbi, Neneng Islamiah, Teguh Sulistyo, Saiful Marhaban, Afifah Linda Sari, dkk</t>
  </si>
  <si>
    <t>978-623-8608-76-8</t>
  </si>
  <si>
    <t>Sejarah kebudayaan Islam</t>
  </si>
  <si>
    <t>Prof. Dr. Kholid Mawardi, M.Hum.</t>
  </si>
  <si>
    <t>978-623-8608-75-1</t>
  </si>
  <si>
    <t>0812-2885-9043</t>
  </si>
  <si>
    <t>Meraih kunci kebahagiaan : menemukan makna, menjalani hidup dengan sadar, dan menyebarkan kebaikan</t>
  </si>
  <si>
    <t>Prof. Dr. H. Rohmad, M.Pd., Afifah Nurul Karimah, M.Psi., Psikolog</t>
  </si>
  <si>
    <t>978-623-8608-74-4</t>
  </si>
  <si>
    <t>Diamku, cerita yang tak terucap</t>
  </si>
  <si>
    <t>Irfatun Nimah</t>
  </si>
  <si>
    <t>978-623-8608-73-7</t>
  </si>
  <si>
    <t>OBE (outcome-based education) : teori dan implementasinya</t>
  </si>
  <si>
    <t>Prof. Dr. H. Suwito, NS., M. Ag., Prof. Dr. H. Rohmad, M. Pd., Dr. H. Saefudin, M.Ed.</t>
  </si>
  <si>
    <t>978-623-8608-72-0</t>
  </si>
  <si>
    <t>Mencari titik temu Islam Sunni-syi’ah : upaya membangun kekuatan politik Islam global</t>
  </si>
  <si>
    <t>Imam Ghozali</t>
  </si>
  <si>
    <t>978-623-8608-71-3</t>
  </si>
  <si>
    <t>0821-2415-3447</t>
  </si>
  <si>
    <t>Local-based English language teaching across Indonesia</t>
  </si>
  <si>
    <t>Muhamad Hasbi, Hidayah Nor, Ahmad Madkur, Teguh Sulistyo, Yani Sri Mulyani, dkk</t>
  </si>
  <si>
    <t>978-623-8608-70-6</t>
  </si>
  <si>
    <t>Tasawuf di era digital : menyemai spiritualitas dalam komunitas maya dan tantangan otentisitas ajaran</t>
  </si>
  <si>
    <t>Prof. Dr. Khusnul Khotimah, M.Ag.</t>
  </si>
  <si>
    <t>978-623-8608-69-0</t>
  </si>
  <si>
    <t>0812-2507-1165</t>
  </si>
  <si>
    <t>Perempuan-perempuan dalam sejarah Islam Indonesia</t>
  </si>
  <si>
    <t>Annisa Lutfiana, Lilih Solih Khatin, Maidah Wihdatul Muna</t>
  </si>
  <si>
    <t>978-623-8608-68-3</t>
  </si>
  <si>
    <t>Melayani tamu Allah : catatan perjalanan petugas haji kloter</t>
  </si>
  <si>
    <t>Mohammad Qomarul Huda</t>
  </si>
  <si>
    <t>978-623-8608-67-6</t>
  </si>
  <si>
    <t>0857-2711-3685</t>
  </si>
  <si>
    <t>A5 (13 x 19 cm)</t>
  </si>
  <si>
    <t>English instructional technology</t>
  </si>
  <si>
    <t>Tommy Hastomo, Winia Waziana, Widi Andewi, Kartika S, Fikri Kholid</t>
  </si>
  <si>
    <t>978-623-8608-66-9</t>
  </si>
  <si>
    <t>Etika profesi teknik informatika</t>
  </si>
  <si>
    <t>Muhamad Ridwan, Warsono, Much Solehudin, M. Mustangin, Juan Ramadan, dkk</t>
  </si>
  <si>
    <t>978-623-8608-65-2</t>
  </si>
  <si>
    <t>Agama dan transformasi peradaban masyarakat di era digital</t>
  </si>
  <si>
    <t>Imam Ghozali, Imam Hakim</t>
  </si>
  <si>
    <t>978-623-8608-64-5</t>
  </si>
  <si>
    <t>Problem keluarga dan alternatif solusinya</t>
  </si>
  <si>
    <t>Prof. Dr. H. Rohmad, M.Pd.</t>
  </si>
  <si>
    <t>978-623-8608-63-8</t>
  </si>
  <si>
    <t>Kumpulan khotbah jumat menuntun umat menuju ketaatan</t>
  </si>
  <si>
    <t>Dr. H. Afifuddin Idrus, S.Ag., M.Pd.I., Diah Nurjanah, S.Kom.I, Mir’atul Khusna, Drs. Ahmad Sodkin, Slamet Riyadi, S.H., dkk</t>
  </si>
  <si>
    <t>978-623-8608-62-1</t>
  </si>
  <si>
    <t>Kultum Penyejuk Hati</t>
  </si>
  <si>
    <t>Dr. Afifuddin Idrus, S.Ag., M.Pd.I., Alfiatun, S.H.I., Khoerul Anam, S.Ud., Idi Asmarani, S.H.I., Diah Nurjanah, S.Kom.I., dkk</t>
  </si>
  <si>
    <t>978-623-8608-61-4</t>
  </si>
  <si>
    <t>Cerita rakyat Banyumas</t>
  </si>
  <si>
    <t>M. Riyanton, Mustasyfa Thabib Kariadi, Nisa Roiyasa</t>
  </si>
  <si>
    <t>978-623-8608-60-7</t>
  </si>
  <si>
    <t>0812-1569-1978</t>
  </si>
  <si>
    <t>Refleksologi Islam : terapi ketuk : sentuhan kecil, manfaat besar</t>
  </si>
  <si>
    <t>Frida Atiqotun Nurul Amalia, Dian Marlinda, Wulan Maulidya, Fiqri Rahma Fauzan</t>
  </si>
  <si>
    <t>978-623-8608-59-1</t>
  </si>
  <si>
    <t>AI-powered gamification for writing and learning engagement</t>
  </si>
  <si>
    <t>Febriyantina Istiara, Galuh Dwi Ajeng, Aksendro Maximilian, Tommy Hastomo, Andri Wicaksono, dkk</t>
  </si>
  <si>
    <t>978-623-8608-58-4</t>
  </si>
  <si>
    <t>Puasa, jihad dan cinta</t>
  </si>
  <si>
    <t>Imam Ghozali, Edi Purnomo</t>
  </si>
  <si>
    <t>978-623-8608-57-7 (PDF)</t>
  </si>
  <si>
    <t>978-623-8608-56-0</t>
  </si>
  <si>
    <t>Powerful vocabulary and grammar classroom activities</t>
  </si>
  <si>
    <t>Muhamad Hasbi, Maulana Teguh Perdana, Ahmad Madkur, Eka Dyah Puspita Sari, Hidayah Nor, dkk</t>
  </si>
  <si>
    <t>978-623-8608-55-3</t>
  </si>
  <si>
    <t>Membangun keluarga sakinah : pendekatan ilmiah populer</t>
  </si>
  <si>
    <t>Prof. Dr. H. Rohmad, M.Pd</t>
  </si>
  <si>
    <t>978-623-8608-54-6</t>
  </si>
  <si>
    <t>25 cerita anak inspiratif</t>
  </si>
  <si>
    <t>Imam Mubarok</t>
  </si>
  <si>
    <t>978-623-8608-53-9</t>
  </si>
  <si>
    <t>Agama dan masa depan generasi Islam di era digital</t>
  </si>
  <si>
    <t>978-623-8608-52-2</t>
  </si>
  <si>
    <t>Memoar anestesi-ku : catatan anestesiologi seorang residen anestesi yang disempurnakan jilid 2</t>
  </si>
  <si>
    <t>Igun Winarno</t>
  </si>
  <si>
    <t>978-623-8608-51-5</t>
  </si>
  <si>
    <t>Memoar anestesi-ku : catatan anestesiologi seorang residen anestesi yang disempurnakan jilid 1</t>
  </si>
  <si>
    <t>978-623-8608-50-8</t>
  </si>
  <si>
    <t>Memoar anestesi-ku : catatan anestesiologi seorang residen anestesi yang disempurnakan (edisi lengkap)</t>
  </si>
  <si>
    <t>978-623-8608-49-2</t>
  </si>
  <si>
    <t>Tirakat dan tarikat Gus Dur</t>
  </si>
  <si>
    <t>978-623-8608-48-5</t>
  </si>
  <si>
    <t>Menghidupkan spirit Islam perspektif al-quran dan sirah nabi dalam pendidikan</t>
  </si>
  <si>
    <t>Tia Mugi Winasih</t>
  </si>
  <si>
    <t>978-623-8608-47-8</t>
  </si>
  <si>
    <t>Sejarah Islam di Malaysia</t>
  </si>
  <si>
    <t>Prihatini</t>
  </si>
  <si>
    <t>978-623-8608-46-1</t>
  </si>
  <si>
    <t>Spiritualitas dan budaya lokal : janturan ebeg dalam tradisi penginyongan</t>
  </si>
  <si>
    <t>Prof. Dr. Kholid Mawardi, M.Hum., Alfi Nur’aini, S.Th.I., M.Ag., Agung Firmansyah</t>
  </si>
  <si>
    <t>978-623-8608-45-4</t>
  </si>
  <si>
    <t>HOSPITAL CRASH – Potret Buram Kehidupan Rumah Sakit</t>
  </si>
  <si>
    <t>978-623-8608-44-7</t>
  </si>
  <si>
    <t>Harmonisasi sains dan agama</t>
  </si>
  <si>
    <t>Hendri Hermawan Adinugraha, Abdul Khobir</t>
  </si>
  <si>
    <t>978-623-8608-43-0</t>
  </si>
  <si>
    <t>0856-5915-9132</t>
  </si>
  <si>
    <t>Pantulan syariat Islam di era post truth</t>
  </si>
  <si>
    <t>978-623-8608-42-3</t>
  </si>
  <si>
    <t>Keilmuan Islam integratif kurikulum perguruan tinggi keagamaan Islam di Indonesia</t>
  </si>
  <si>
    <t>Prof. Dr. Suparjo, M.A., Fajry Sub’haan Syah Sinaga, S.Pd., M.A., Nur Setyaningrum, S.Pd.I., M.S.I., Handika Bayu Prasetya, S.Pd.</t>
  </si>
  <si>
    <t>978-623-8608-41-6</t>
  </si>
  <si>
    <t>0812-1585-5775</t>
  </si>
  <si>
    <t>A5 (14 x 21 cm)</t>
  </si>
  <si>
    <t>Kurikulum matematika terintegrasi keislaman : implementasi di pendidikan tinggi</t>
  </si>
  <si>
    <t>Maria Ulpah, Riris Eka Setiani</t>
  </si>
  <si>
    <t>978-623-8608-40-9</t>
  </si>
  <si>
    <t>Sejarah konflik Palestina</t>
  </si>
  <si>
    <t>Alfi Mukaromah, Anggraeni Theresia Ananda, Dwi Maryana Ningsih, Halinka Zia, Laela Afiatun Nur Azizah, dkk</t>
  </si>
  <si>
    <t>978-623-8608-39-3</t>
  </si>
  <si>
    <t>Prayer and happiness</t>
  </si>
  <si>
    <t>Muhammad Nurhalim, M.A., Hermawan, Karimatul Khaqiqi</t>
  </si>
  <si>
    <t>978-623-8608-38-6</t>
  </si>
  <si>
    <t>Profil ulama Kepulauan Meranti</t>
  </si>
  <si>
    <t>Imam Ghozali, Chanifudin, Syukron Darsyah</t>
  </si>
  <si>
    <t>978-623-8608-37-9</t>
  </si>
  <si>
    <t>Multi-language children stories</t>
  </si>
  <si>
    <t>Jefrianto</t>
  </si>
  <si>
    <t>978-623-8608-36-2</t>
  </si>
  <si>
    <t>Integrating AI and TPACK in language teaching : a guide to ai-powered tools and pedagogical strategies</t>
  </si>
  <si>
    <t>Hajjah Zulianti, M.A., Hastuti, M.Pd., Eva Nurchurifiani, M.Pd., Tommy Hastomo, M.Pd., Aksendro Maximilian, Ph.D., dkk</t>
  </si>
  <si>
    <t>978-623-8608-35-5</t>
  </si>
  <si>
    <t>Agama, politik dan ormas NU di Riau : relasi agama dan politik perspektif pengurus Nahdlatul Ulama Provinsi Riau pada pemilihan presiden 2024</t>
  </si>
  <si>
    <t>978-623-8608-34-8</t>
  </si>
  <si>
    <t>Manakib ulama masyayikh jawi al-wustha jilid 3</t>
  </si>
  <si>
    <t>Akhmad Saefudin SS ME</t>
  </si>
  <si>
    <t>978-623-8608-33-1</t>
  </si>
  <si>
    <t>0852-2706-4655</t>
  </si>
  <si>
    <t>Manakib ulama masyayikh jawi al-wustha jilid 2</t>
  </si>
  <si>
    <t>978-623-8608-32-4</t>
  </si>
  <si>
    <t>Manakib ulama masyayikh jawi al-wustha jilid 1</t>
  </si>
  <si>
    <t>978-623-8608-31-7</t>
  </si>
  <si>
    <t>Manakib ulama masyayikh jawi al-wustha (edisi lengkap)</t>
  </si>
  <si>
    <t>978-623-8608-30-0</t>
  </si>
  <si>
    <t>AI in academic writing : transforming research practices in higher education</t>
  </si>
  <si>
    <t>Eva Nurchurifiani, Aksendro Maximilian, Galuh Dwi Ajeng, Purna Wiratno, Tommy Hastomo, dkk</t>
  </si>
  <si>
    <t>978-623-8608-29-4</t>
  </si>
  <si>
    <t>Teknologi kinerja</t>
  </si>
  <si>
    <t>Niman Dani, M.Pd., Prof. Dr. Ir. Iffah Budiningsih, M.M., Prof. Dr. H. Dailami Firdaus, S.H., LL.M., MBA.</t>
  </si>
  <si>
    <t>978-623-8608-28-7</t>
  </si>
  <si>
    <t>Enhancing EFL writing with AI chatbots : a new horizon in language learning</t>
  </si>
  <si>
    <t>Winia Waziana, M.Pd., Widi Andewi, M.Pd., Tommy Hastomo, M.Pd., Muhamad Hasbi, M.A.</t>
  </si>
  <si>
    <t>978-623-8608-27-0</t>
  </si>
  <si>
    <t>Kurikulum merdeka : idealitas dan realitas</t>
  </si>
  <si>
    <t>Prof. Dr. H. Rohmad, M.Pd., Prof. Dr. H. Ija Suntana, M.Ag., Mauliya Nandra Arif Fani, M.Pd.</t>
  </si>
  <si>
    <t>978-623-8608-26-3</t>
  </si>
  <si>
    <t>Orientasi baru psikologi dalam pendidikan</t>
  </si>
  <si>
    <t>Anisa Umayah, M.Pd., Dr. Eka Yunita Yustantina, Psi, M.Pd., Dr. Pardan Prasetyo, M.Pd.</t>
  </si>
  <si>
    <t>978-623-8608-25-6</t>
  </si>
  <si>
    <t>Statistik pendidikan</t>
  </si>
  <si>
    <t>Muhammad Ismail Shidik, Khasanah</t>
  </si>
  <si>
    <t>978-623-8608-24-9</t>
  </si>
  <si>
    <t>Difusi dan inovasi dalam pendidikan</t>
  </si>
  <si>
    <t>Rini Anita Putri, M.Pd., Dr. Nursanita Nasution, M.E., Dr. Syarifah, M.Pd.</t>
  </si>
  <si>
    <t>978-623-8608-23-2</t>
  </si>
  <si>
    <t>Membangun SDM yang profesional di rumah sakit</t>
  </si>
  <si>
    <t>978-623-8608-22-5</t>
  </si>
  <si>
    <t>The secret of content writer for beginner</t>
  </si>
  <si>
    <t>Anisah Istiqomah, Firda Diana Kartika Rani, Nafingatul Khasanah, Nailla Salsabila</t>
  </si>
  <si>
    <t>978-623-8608-21-8</t>
  </si>
  <si>
    <t>Landasan pendidikan Islam</t>
  </si>
  <si>
    <t>Dr. Zamakhsyari Abdul Majid, Lc., M.A., Ika Mudrika Wati, S.H.I., M.Pd., Prof. Dr. Masduki Ahmad, S.H., M.M.</t>
  </si>
  <si>
    <t>978-623-8608-20-1</t>
  </si>
  <si>
    <t>Pengembangan media dan pengelolaan sumber belajar</t>
  </si>
  <si>
    <t>Anisa Umayah, M.Pd., Dr. Syarifah, M.Pd., Dr. Moh. Fahr Yasin, M.Pd.</t>
  </si>
  <si>
    <t>978-623-8608-19-5</t>
  </si>
  <si>
    <t>Desakralisasi pernikahan di kalangan aparatur sipil negara</t>
  </si>
  <si>
    <t>Afifudin Idrus</t>
  </si>
  <si>
    <t>978-623-8608-18-8</t>
  </si>
  <si>
    <t>The development of Islamic finance in Brunei Darussalam and Indonesia</t>
  </si>
  <si>
    <t>Prof. Dr. H. Rohmad, M.Pd., Prof. Dr. Mohd Hairul Azrin Haji Besar, Dr. H. Jamal Abdul Aziz, M.Ag., Dr. Ahmad Dahlan, M.S.I.</t>
  </si>
  <si>
    <t>978-623-8608-17-1</t>
  </si>
  <si>
    <t>Landasan teknologi pendidikan : tinjauan teoretis dan pedoman praktis</t>
  </si>
  <si>
    <t>Rini Anita Putri, M.Pd., Dr. Misbah Fikrianto, MM., M.Si., M.Pd., Prof Dr. Ir. Iffah Budiningsih, M.M.</t>
  </si>
  <si>
    <t>978-623-8608-16-4</t>
  </si>
  <si>
    <t>Metode penelitian pendidikan</t>
  </si>
  <si>
    <t>Muhammad Ismail Shidik, M.Pd., Dr. Khasanah, M.Pd., Dr. Moh. Fahri Yasin, M.Pd.</t>
  </si>
  <si>
    <t>978-623-8608-15-7</t>
  </si>
  <si>
    <t>Cyber education : tinjauan teoretis dan pedoman praktis</t>
  </si>
  <si>
    <t>Handri Arba Ayub, M.Pd., Dr. Moh. Fahri Yasin, M.Pd., Dr. Misbah Pikrianto, M.M., M.Pd.</t>
  </si>
  <si>
    <t>978-623-8608-14-0</t>
  </si>
  <si>
    <t>Tik dalam pendidikan</t>
  </si>
  <si>
    <t>Maria Ulfa, M.Pd., Dr. Pardaan Prasetyo, M.Pd., Dr. Syarifah, M.Pd.</t>
  </si>
  <si>
    <t>978-623-8608-13-3</t>
  </si>
  <si>
    <t>Filsafat ilmu</t>
  </si>
  <si>
    <t>Niman Dani, M.Pd., Dr. Drs. Samsudin, S.H., M.H., M.Pd., Prof. Dr. Suparman Kholil, M.A.</t>
  </si>
  <si>
    <t>978-623-8608-12-6</t>
  </si>
  <si>
    <t>Beras merah : bersama Akhmad Saefudin membangun daerah</t>
  </si>
  <si>
    <t>Akhmad Saefudin, S.S., M.E.</t>
  </si>
  <si>
    <t>978-623-8608-11-9</t>
  </si>
  <si>
    <t>Manajemen pengetahuan : teori dan praktik Internasionalisasi perguruan tinggi</t>
  </si>
  <si>
    <t>Sulkhan Chakim, Arsam, M. Fadlan</t>
  </si>
  <si>
    <t>978-623-8608-10-2</t>
  </si>
  <si>
    <t>Buku ajar sejarah pendidikan Islam</t>
  </si>
  <si>
    <t>Prof. Dr. Kholid Mawardi, S.Ag., M.Hum.</t>
  </si>
  <si>
    <t>978-623-8608-09-6</t>
  </si>
  <si>
    <t>Ahlussunah wal jama'ah : wamaa yata'allaqu mimba'di a'maalihim</t>
  </si>
  <si>
    <t>Muhammad Tohirin</t>
  </si>
  <si>
    <t>978-623-8608-08-9</t>
  </si>
  <si>
    <t>How to teach English to gen Z students</t>
  </si>
  <si>
    <t>Muhamad Hasbi, Neneng Islamiah, Ni Luh Putu Ning S.P.A., Fitria Nur Hamidah, Hidayah Nor, dkk</t>
  </si>
  <si>
    <t>978-623-8608-07-2</t>
  </si>
  <si>
    <t>Pengembangan organisasi perguruan tinggi dalam perspektif sivitas akademika dan stakeholder</t>
  </si>
  <si>
    <t>Dr. H. M. Sugeng Sholehuddin, M.Ag., Dr. Muhamad Jaeni, M.Pd., M.Ag., Dr. Hj. Sopiah, M.Ag., Dr. H. Abdul Khobir, M.Ag.</t>
  </si>
  <si>
    <t>978-623-8608-06-5</t>
  </si>
  <si>
    <t>Petualangan parenting : menjelajahi dunia pengasuhan anak yang penuh kejutan</t>
  </si>
  <si>
    <t>Anik Mukti Dwi Pangestu, S.Pd., Rizka Maulida SM, S.Pd., Gusti Layli Qurrotul 'Ayni, S.Pd., Falasifa Larasati, S.Pd., Diyasika Ulinafiah, S.Pd.</t>
  </si>
  <si>
    <t>978-623-8608-05-8</t>
  </si>
  <si>
    <t>Mengungkap fakta dan membuka asa dibalik jeruji besi</t>
  </si>
  <si>
    <t>Evita Putri Lestari, Kauri Nur Indah Ramadhanti, Rizky Poula Rosalinda, Rainda Surnaeni, Efendi Mansur, dkk</t>
  </si>
  <si>
    <t>978-623-8608-04-1</t>
  </si>
  <si>
    <t>Menuju Indonesia maju bersih dari narkoba bersama badan narkotika nasional</t>
  </si>
  <si>
    <t>Ikwal Bakthiar, Adlul Hanaf Givani, Akhmad Rifqi Nawawi, Fatmi Khasanah, Farazia Anaami Aqilla, dkk</t>
  </si>
  <si>
    <t>978-623-8608-03-4</t>
  </si>
  <si>
    <t>Evolusi Nahdlatul Ulama : perjalanan dan perubahan menuju masa depan</t>
  </si>
  <si>
    <t>Safii Adnan, Ardi Saputra, Ahmad Chusni Rifa’i, Ahmad Yusuf Darmawan</t>
  </si>
  <si>
    <t>978-623-8608-02-7</t>
  </si>
  <si>
    <t>Jum’at call : Gus Mus menyapa umat</t>
  </si>
  <si>
    <t>Rujito, M.Sos.</t>
  </si>
  <si>
    <t>978-623-8608-01-0</t>
  </si>
  <si>
    <t>0852-2738-7766</t>
  </si>
  <si>
    <t>Storynomics tourism di Banyumas : dari cerita menjelma wisata</t>
  </si>
  <si>
    <t>Dani Kusumastuti &amp; Oki Edi Purwoko</t>
  </si>
  <si>
    <t>978-623-8608-00-3</t>
  </si>
  <si>
    <t>Useful AI tools for English teachers</t>
  </si>
  <si>
    <t>Aam Alamsyah, Ahmad Faozan, Muhamad Hasbi, Ni Luh Putu Ning Septyarini Putri Astawa, Andi Rizqi Fauzi, dkk</t>
  </si>
  <si>
    <t>978-623-5999-99-9</t>
  </si>
  <si>
    <t>Kaidah-kaidah maqashid</t>
  </si>
  <si>
    <t>Fauzan Azima Syafiuddin, Juhendri, Sumantri Adenin, Muhammad Al-Mansur, Khairul Akhyar, dkk</t>
  </si>
  <si>
    <t>978-623-5999-98-2</t>
  </si>
  <si>
    <t>Masyarakat lintas agama di Indonesia : kerukunan, konflik dan kohesi sosial</t>
  </si>
  <si>
    <t>Dr. Saefudin, M.Ed.</t>
  </si>
  <si>
    <t>978-623-5999-97-5</t>
  </si>
  <si>
    <t>Ma’had aly : mutu akademik dan tantangannya bagi perguruan tinggi keagamaan Islam</t>
  </si>
  <si>
    <t>Prof. Dr. Supriyanto, Lc., M.S.I., Mawi Khusni Albar, M.Pd.I., Hendri Purbo Waseso, M.Pd.I., Dr. M. Faizul Husnayain, M.Pd.I.</t>
  </si>
  <si>
    <t>978-623-5999-96-8</t>
  </si>
  <si>
    <t>Aktualisasi kinerja pengawas : optimalisasi kompetensi dan kapasitas lembaga pendidikan</t>
  </si>
  <si>
    <t>Dr. H. Slamet Wahyudi, M.Pd.</t>
  </si>
  <si>
    <t>978-623-5999-95-1</t>
  </si>
  <si>
    <t>Konsepsi dan aktualisasi moderasi beragama di lembaga pendidikan</t>
  </si>
  <si>
    <t>Dr. Dudiyono, M.Pd.I</t>
  </si>
  <si>
    <t>978-623-5999-94-4</t>
  </si>
  <si>
    <t>Pembatasan mobilitas era pandemi : resiliensi budaya, sosial ekonomi dan religiusitas masyarakat</t>
  </si>
  <si>
    <t>Prof. Dr. Sulkhan Chakim, S.Ag., M.M., Rindha Widyaningsih, S.Fil., M.A.</t>
  </si>
  <si>
    <t>978-623-5999-93-7</t>
  </si>
  <si>
    <t>Jilbab dan identitas bagi narapidana perempuan</t>
  </si>
  <si>
    <t>Prof. Dr. Hj. Khusnul Khotimah, M.Ag.</t>
  </si>
  <si>
    <t>978-623-5999-92-0</t>
  </si>
  <si>
    <t>Pengembangan kurikulum raudhatul athfal : teori dan praktik kurikulum berbasis kearifan lokal</t>
  </si>
  <si>
    <t>Ulpah Maspupah, M.Pd.I., Novi Mayasari, M.Pd.</t>
  </si>
  <si>
    <t>978-623-5999-91-3</t>
  </si>
  <si>
    <t>Metode mu¿asabah neuro linguistic programming : sebuah metode integratif dalam meningkatkan kesejahteraan subjektif</t>
  </si>
  <si>
    <t>Dr. Dr. Muhammad Nurhalim, M.Pd.</t>
  </si>
  <si>
    <t>978-623-5999-90-6</t>
  </si>
  <si>
    <t>Cara pintar mengelola keuangan pribadi</t>
  </si>
  <si>
    <t>Prof. Dr. H. Fathul Aminuddin Aziz, M.M., Hastin Tri Utami, S.E., M.Si., Doddy Afandi Firdaus, M.Si., Arina Nur Arofah, Siti Hanifah Sudiarti</t>
  </si>
  <si>
    <t>978-623-5999-89-0</t>
  </si>
  <si>
    <t>Risk management in higher education</t>
  </si>
  <si>
    <t>Prof. Dr. Munjin, M.Pd.I., Windariyati Dyah Kusumawati, S.Pd., M.Pd., M.A.</t>
  </si>
  <si>
    <t>978-623-5999-88-3</t>
  </si>
  <si>
    <t>Akulturasi Islam Jawa dan budaya dalam pengembangan tradisi ekonomi islam</t>
  </si>
  <si>
    <t>Rahmini Hadi, S.E., M.Si., Yoiz Shofwa Shafrani, SP., M.Si., Dr. Laily Nurhayati, S.E., M.Si.</t>
  </si>
  <si>
    <t>978-623-5999-87-6</t>
  </si>
  <si>
    <t>Konseling eksistensial humanistik berbasis kearifan lokal</t>
  </si>
  <si>
    <t>Nur Azizah, M.Si., Dr. Alief Budiyono, S.Psi., M.Pd., Diah Ayu Harumbina</t>
  </si>
  <si>
    <t>978-623-5999-86-9</t>
  </si>
  <si>
    <t>Eco-sufism</t>
  </si>
  <si>
    <t>Suwito NS</t>
  </si>
  <si>
    <t>978-623-5999-85-2</t>
  </si>
  <si>
    <t>Ahmad Nahrawi Muhtarom (1256/1838-1346/1928) : manaqib dan kiprah intelektual ulama Jawi di Mekkah</t>
  </si>
  <si>
    <t>Prof. Dr. Phil. H.M. Nur Kholis Setiawan, M.A.</t>
  </si>
  <si>
    <t>978-623-5999-84-5</t>
  </si>
  <si>
    <t>Tadzkir : syi’iran pilihan dan kisah-kisah peneguh iman</t>
  </si>
  <si>
    <t>Abu Bakar Sa’ad Musthofa</t>
  </si>
  <si>
    <t>978-623-5999-83-8</t>
  </si>
  <si>
    <t>Relasiku adalah rumah Kristus</t>
  </si>
  <si>
    <t>Daniel Puspo Wardojo</t>
  </si>
  <si>
    <t>978-623-5999-82-1</t>
  </si>
  <si>
    <t>Fatamorgana batas hati</t>
  </si>
  <si>
    <t>Mokhamad Arif Indryanto</t>
  </si>
  <si>
    <t>978-623-5999-81-4</t>
  </si>
  <si>
    <t>dewasa</t>
  </si>
  <si>
    <t>Secercah cerita di desa cingebul</t>
  </si>
  <si>
    <t>Nurbilal Abdullah Syamsul Ridho, Gebyar Cahya Aditya, Muhammad Ridwan, Muhammad Fariz Reza, Nendi Muhammad Budiaji, dkk</t>
  </si>
  <si>
    <t>978-623-5999-80-7</t>
  </si>
  <si>
    <t>Melihat desa Madura dari dekat</t>
  </si>
  <si>
    <t>Farah Lutfi Azizah, Sukma Pandu Aji, Fuad Zein, Dian Sasmita, Siti Nurindah Marfuah, dkk</t>
  </si>
  <si>
    <t>978-623-5999-79-1</t>
  </si>
  <si>
    <t>Bimbingan klien bagi anak pelaku tindak pidana narkoba</t>
  </si>
  <si>
    <t>Feri Sumori</t>
  </si>
  <si>
    <t>978-623-5999-78-4</t>
  </si>
  <si>
    <t>Asaasiyatu ‘ilm al-balaghoh</t>
  </si>
  <si>
    <t>Amin Khaerudin</t>
  </si>
  <si>
    <t>978-623-5999-77-7</t>
  </si>
  <si>
    <t>Memory of 70 years H Soepardi Harris (19 June 1953 – 19 June 2023)</t>
  </si>
  <si>
    <t>978-623-5999-76-0</t>
  </si>
  <si>
    <t>Peduli kemanusiaan dalam bingkai pemerintahan : kumpulan essay</t>
  </si>
  <si>
    <t>Shafira Shabil Hariyanto, Vivi Ariyanti, Nurul Afifah, Novita Devi Nur Anggraeni, Muhammad Aimar Yahya, dkk</t>
  </si>
  <si>
    <t>978-623-5999-75-3</t>
  </si>
  <si>
    <t>The PR management and brand image in Islamic higher education</t>
  </si>
  <si>
    <t>Dr. Munjin, M.Pd.I., Windariyati Dyah Kusumawati, S.Pd., M.Pd., M.A.</t>
  </si>
  <si>
    <t>978-623-5999-74-6</t>
  </si>
  <si>
    <t>Nggade (rahn), maro (muzara‘ah) dan mertelu (mukhabarah) pada perekonomian masyarakat Banyumas</t>
  </si>
  <si>
    <t>Dr. H. A. Luthfi Hamidi, M.Ag., Siti Ma’sumah, S.E., M.Si., Ibnu Trisal Adam, S.S., M.Hum., Istiani Nurul Azah</t>
  </si>
  <si>
    <t>978-623-5999-73-9</t>
  </si>
  <si>
    <t>Takhtit ta‘limul lughotul ‘arabiyah = perencanaan pembelajaran bahasa Arab</t>
  </si>
  <si>
    <t>Ali Muhdi, Muhammad Syadid Dailami</t>
  </si>
  <si>
    <t>978-623-5999-72-2</t>
  </si>
  <si>
    <t>Etnografi ritus kematian : kontestasi, kompromi dan toleransi santri terhadap tradisi nyewu</t>
  </si>
  <si>
    <t>Dr. Kholid Mawardi, S.Ag., M.Hum.</t>
  </si>
  <si>
    <t>978-623-5999-71-5</t>
  </si>
  <si>
    <t>Mahir membuat aplikasi pembelajaran Android</t>
  </si>
  <si>
    <t>Siti Sulaikho, Moh. Anshori Aris Widya, Ulfa Wulan Agustina</t>
  </si>
  <si>
    <t>978-623-5999-70-8</t>
  </si>
  <si>
    <t>Kalam pena : tentang cinta, luka, dan toga</t>
  </si>
  <si>
    <t>Dwi Setiyawan, M.Pd., Sigit Andi Prasetya Dinata, M.Pd., Sebriana Cahya Eri, Rintan Dwi Novari, Arta Melani, dkk</t>
  </si>
  <si>
    <t>978-623-5999-69-2</t>
  </si>
  <si>
    <t>Relasi sosial politik Nahdlatul Ulama pada masa penjajahan Belanda tahun 1926-1942</t>
  </si>
  <si>
    <t>Dr. Kholid Mawardi, S.Ag., M.Hum., Imam Hidayat, M.Pd.I.</t>
  </si>
  <si>
    <t>978-623-5999-68-5</t>
  </si>
  <si>
    <t>Manajemen sumber daya manusia dalam organisasi dan bisnis modern</t>
  </si>
  <si>
    <t>Nurul Huda dan Syaefudin Aziz</t>
  </si>
  <si>
    <t>978-623-5999-67-8</t>
  </si>
  <si>
    <t>Probabilitas keputusan memilih bank syariah</t>
  </si>
  <si>
    <t>Dr. Ida Nurlaeli, M.Ag</t>
  </si>
  <si>
    <t>978-623-5999-66-1</t>
  </si>
  <si>
    <t>Pemberdayaan perempuan berbasis pesantren</t>
  </si>
  <si>
    <t>Dr. Farichatul Maftuchah, M.Ag, Harisman, M.Ag</t>
  </si>
  <si>
    <t>978-623-5999-65-4</t>
  </si>
  <si>
    <t>Trend pengembangan keilmuwan era digital di kalangan pelajar pondok pesantren</t>
  </si>
  <si>
    <t>Dr. Suparjo, M.A., Dr. Nurul Azizah, S.Pd.I., M.Pd., Sutrimo Purnomo, S.Pd.I., M.Pd.</t>
  </si>
  <si>
    <t>978-623-5999-64-7</t>
  </si>
  <si>
    <t>Perempuan memimpin pesantren</t>
  </si>
  <si>
    <t>Dr. Hj. Khusnul Khotimah, M.Ag</t>
  </si>
  <si>
    <t>978-623-5999-63-0</t>
  </si>
  <si>
    <t>Pernikahan dini : tantangan dan persoalan remaja</t>
  </si>
  <si>
    <t>Dr. Alief Budiyono, S.Psi., M.Pd., Vici Prihmaningrum AM, M.A.</t>
  </si>
  <si>
    <t>978-623-5999-62-3</t>
  </si>
  <si>
    <t>0812-2503-356</t>
  </si>
  <si>
    <t>Mengembangkan potensi karakter</t>
  </si>
  <si>
    <t>Bambang Purnomo S.Pd</t>
  </si>
  <si>
    <t>978-623-5999-61-6</t>
  </si>
  <si>
    <t>Potret business sustainability usaha mikro kecil dan menengah (UMKM) di tengah badai Covid-19</t>
  </si>
  <si>
    <t>Dr. H. Fathul Aminudin Aziz, MM, Hastin Tri Utami, SE, M.Si, Ak, Kartika Wanojaleni, M.Ag</t>
  </si>
  <si>
    <t>978-623-5999-60-9</t>
  </si>
  <si>
    <t>Strategi meningkatkan motivasi belajar siswa</t>
  </si>
  <si>
    <t>Novi Mayasari, M.Pd, Dr. Johar Alimuddin, M.Pd</t>
  </si>
  <si>
    <t>978-623-5999-59-3</t>
  </si>
  <si>
    <t>E-Counseling di lembaga pendidikan : konsepsi dan aktualisasi konseling transformatif</t>
  </si>
  <si>
    <t>Nur Azizah, M.Si., Dr. Alief Budiyono, M.Pd., Adhitya Ridwan Budhi P.N., S.Sos</t>
  </si>
  <si>
    <t>978-623-5999-58-6</t>
  </si>
  <si>
    <t>Indonesian studies learning the wonderful of Indonesia</t>
  </si>
  <si>
    <t>Maria Johana Ari Widayanti, Mohamad Ikhwan Rosyidi, Dennis Audria Pramana, Farel Gerald</t>
  </si>
  <si>
    <t>978-623-5999-57-9</t>
  </si>
  <si>
    <t>Memahami proses menulis ilmiah</t>
  </si>
  <si>
    <t>Thohiriyah, S.S., M.Hum.</t>
  </si>
  <si>
    <t>978-623-5999-56-2</t>
  </si>
  <si>
    <t>Reproduksi budaya dan tradisi keagamaan masyarakat migran Banyumasan</t>
  </si>
  <si>
    <t>Dr. Supriyanto, Lc, M.S.I., Agus Sunaryo, M.S.I., Mawi Khusni Albar, M.Pd.I., Ahmad Hazaz Syarif, M.E.I</t>
  </si>
  <si>
    <t>978-623-5999-55-5</t>
  </si>
  <si>
    <t>Komunikasi interpersonal nabi dalam hadis-hadis dialogis : upaya mengkonstruksi sunnah fikriyyah</t>
  </si>
  <si>
    <t>Dr. Munawir, M.S.I., Dr. Musta’in, M.Si., Unggul Prayoga</t>
  </si>
  <si>
    <t>978-623-5999-54-8</t>
  </si>
  <si>
    <t>Paleografi Arab pegon : perspektif filologis dan historis</t>
  </si>
  <si>
    <t>Jamaluddin, S.Hum., M.A</t>
  </si>
  <si>
    <t>978-623-5999-53-1</t>
  </si>
  <si>
    <t>0857-4362-2402</t>
  </si>
  <si>
    <t>Manajemen kurikulum muatan lokal budaya Banyumasan : teori dan praktik</t>
  </si>
  <si>
    <t>Ulpah Maspupah, M.Pd.I &amp; Novi Mayasari, M.Pd.</t>
  </si>
  <si>
    <t>978-623-5999-52-4</t>
  </si>
  <si>
    <t>Syahadat : apa yang kutemukan sebelum menerima Islam</t>
  </si>
  <si>
    <t>Bambang Purnomo</t>
  </si>
  <si>
    <t>978-623-5999-51-7</t>
  </si>
  <si>
    <t>Efektivitas media lectora inspire berbasis STEM guna meningkatkan keterampilan HOTS peserta didik</t>
  </si>
  <si>
    <t>Aziz Kurniawan, M.Pd.</t>
  </si>
  <si>
    <t>978-623-5999-50-0</t>
  </si>
  <si>
    <t>Sebersit inspirasi, coretan intelektual pribadi kader</t>
  </si>
  <si>
    <t>Abdullah Furqon, Arine Rahmah Ramadhani, Arinta Lyra Anggraeni, Aqilatun Zulfa, Defika Yusanti, dkk</t>
  </si>
  <si>
    <t>978-623-5999-49-4</t>
  </si>
  <si>
    <t>Pengembangan media pembelajaran lectora inspire</t>
  </si>
  <si>
    <t>Aziz Kurniawan, M.Pd, Khafifatul Fian, S.Pd.</t>
  </si>
  <si>
    <t>978-623-5999-48-7</t>
  </si>
  <si>
    <t>Resilience in language teaching and learning in the new normal</t>
  </si>
  <si>
    <t>Bayu Andika Prasatyo, Beny Hamdani, Daniel Ginting, Devian Try Gustary, Dini Deswarni, dkk</t>
  </si>
  <si>
    <t>978-623-5999-47-0</t>
  </si>
  <si>
    <t>Ilmu qira’at sab’ah</t>
  </si>
  <si>
    <t>Dr. Muhammad Sofwan Mubarir, MA</t>
  </si>
  <si>
    <t>978-623-5999-46-3</t>
  </si>
  <si>
    <t>Disrupsi sosial dan masa depan studi islam : pada masyarakat berkebudayaan lokal</t>
  </si>
  <si>
    <t>Ansori, Ridwan, Ahmad Muttaqin</t>
  </si>
  <si>
    <t>978-623-5999-45-6</t>
  </si>
  <si>
    <t>Interaksi kisah, penyiaran, dan publikasi</t>
  </si>
  <si>
    <t>Silma Ulqiatul Mastika, Sintiya Rahmawati, Rahmawati, Putri Maharani Nurlaila, Baha’ul Labib, dkk</t>
  </si>
  <si>
    <t>978-623-5999-44-9</t>
  </si>
  <si>
    <t>Optimalisasi peran pembimbing kemasyarakatan dalam pendampingan anak berkonflik dengan hukum</t>
  </si>
  <si>
    <t>Dian Puspita Sari, S.H</t>
  </si>
  <si>
    <t>978-623-5999-43-2</t>
  </si>
  <si>
    <t>Pendidikan agama Islam (PAI) berbasis sains Islam integratif di sekolah menengah atas (SMA) Islam</t>
  </si>
  <si>
    <t>Dr. Suparjo, M.A, Dr. Moh. Hanif, M.Ag., M.A, Dimas Indianto S., M.Pd.I</t>
  </si>
  <si>
    <t>978-623-5999-42-5</t>
  </si>
  <si>
    <t>Peran pembimbing kemasyarakatan dalam pelaksanaan diversi terhadap anak yang berkonflik dengan hukum</t>
  </si>
  <si>
    <t>Murwanto, S.Sos</t>
  </si>
  <si>
    <t>978-623-5999-41-8</t>
  </si>
  <si>
    <t>Filsafat akhlak Ibnu Miskawaih</t>
  </si>
  <si>
    <t>Dr. H. Supriyanto, Lc., M.S.I</t>
  </si>
  <si>
    <t>978-623-5999-40-1</t>
  </si>
  <si>
    <t>Pandangan tokoh muslim di Indonesia terhadap pandemi Covid-19</t>
  </si>
  <si>
    <t>Rotala Sofiyatunnisa, S.Ag</t>
  </si>
  <si>
    <t>978-623-5999-39-5</t>
  </si>
  <si>
    <t>Sejarah Muslimat NU Banyumas</t>
  </si>
  <si>
    <t>Hj. Siti Rofi’ah, Ninung Saifunah, M.Pd.I., Hj. Indri Rachmawati, S.Pd., Ekowati Handayani, Hj. Muhiroh, S.Pd</t>
  </si>
  <si>
    <t>978-623-5999-38-8</t>
  </si>
  <si>
    <t>Layanan konseling individu berwawasan ekologi di sekolah</t>
  </si>
  <si>
    <t>Adhitya Ridwan Budhi Prasetyo Nugroho</t>
  </si>
  <si>
    <t>978-623-5999-37-1</t>
  </si>
  <si>
    <t>Mobil antik 2 jadi musholla</t>
  </si>
  <si>
    <t>Muhyi Fadlil, Anita, Laelatul Qodriyah</t>
  </si>
  <si>
    <t>978-623-5999-36-4</t>
  </si>
  <si>
    <t>Bimbingan manasik haji dan umrah</t>
  </si>
  <si>
    <t>Drs. K.H. Mughni Labib, M.S.I</t>
  </si>
  <si>
    <t>978-623-5999-35-7</t>
  </si>
  <si>
    <t>Literasi perempuan : narasi khidmat untuk generasi unggul</t>
  </si>
  <si>
    <t>Anisah, S.Pd., Nusrotin Rufaidah, Mutmainah, Qomariyah, Tanti Rubiyanti, dkk</t>
  </si>
  <si>
    <t>978-623-5999-34-0</t>
  </si>
  <si>
    <t>25 Toga : Tanaman Obat Keluarga versi Banyumasan</t>
  </si>
  <si>
    <t>dr Agus Ujianto, MSi Med SpB</t>
  </si>
  <si>
    <t>978-623-5999-33-3</t>
  </si>
  <si>
    <t>A6</t>
  </si>
  <si>
    <t>Salahuddin Al-Ayyubi : kisah kepahlawanannya dalam perang salib</t>
  </si>
  <si>
    <t>Nurrohim, Lc., M.Hum., Fitri Sari Setyorini, S.Hum., M.Hum.</t>
  </si>
  <si>
    <t>978-623-5999-32-6</t>
  </si>
  <si>
    <t>Pengembangan bahan ajar pendidikan agama Islam (PAI) berbasis sains Islam integratif di sekolah menengah atas (SMA) Islam</t>
  </si>
  <si>
    <t>978-623-5999-31-9</t>
  </si>
  <si>
    <t>Jogja terbuat dari rindu</t>
  </si>
  <si>
    <t>Efria Siti Syamsiah, S.E.</t>
  </si>
  <si>
    <t>978-623-5999-30-2</t>
  </si>
  <si>
    <t>Kajian Al Qur’an di kalangan orientalis</t>
  </si>
  <si>
    <t>Prof. Dr. Phil. H. M. Nur Kholis Setiawan, M.A.</t>
  </si>
  <si>
    <t>978-623-5999-29-6</t>
  </si>
  <si>
    <t>Bimbingan dan konseling di sekolah</t>
  </si>
  <si>
    <t>Ernatus Zulaihah, Khumdatul Hikmah, Muhammad Zidane Burhanudin, Intan Safinatunnajah, Lia Nur Janah, dkk</t>
  </si>
  <si>
    <t>978-623-5999-28-9</t>
  </si>
  <si>
    <t>Deradikalisasi pemahaman agama pada mahasiswa</t>
  </si>
  <si>
    <t>Drs. K.H. Mughni Labib, M.S.I, Abdul Basith, S.Th.I., M.H.I</t>
  </si>
  <si>
    <t>978-623-5999-27-2</t>
  </si>
  <si>
    <t>Sensivitas gender di pondok pesantren</t>
  </si>
  <si>
    <t>Dr. Farichatul Maftuchah, M.Ag., Ismail, Lc., M.Hum.</t>
  </si>
  <si>
    <t>978-623-5999-26-5</t>
  </si>
  <si>
    <t>Tadabbur dakwah transformatif di pondok pesantren</t>
  </si>
  <si>
    <t>Dr. Hj. Khusnul Khotimah, M.Ag.</t>
  </si>
  <si>
    <t>978-623-5999-25-8</t>
  </si>
  <si>
    <t>Konstruksi epistemologi Islam</t>
  </si>
  <si>
    <t>Muhammad Sholeh, dkk</t>
  </si>
  <si>
    <t>978-623-5999-24-1</t>
  </si>
  <si>
    <t>Puasa pertama Aqil : cerita anak muslim amar ma’ruf nahi munkar</t>
  </si>
  <si>
    <t>A‘tina Fatha</t>
  </si>
  <si>
    <t>978-623-5999-23-4</t>
  </si>
  <si>
    <t>Epistemologi fiqih kontemporer : kaidah hukum Islam menjawab pandemi</t>
  </si>
  <si>
    <t>H. Ma’sum Anshori</t>
  </si>
  <si>
    <t>978-623-5999-22-7</t>
  </si>
  <si>
    <t>Manajemen mutu pendidikan madrasah</t>
  </si>
  <si>
    <t>H. Edi Sungkowo, Saiful Hamdi</t>
  </si>
  <si>
    <t>978-623-5999-21-0</t>
  </si>
  <si>
    <t>Bimbingan mental spiritual di balai rehabilitasi bagi korban</t>
  </si>
  <si>
    <t>Nur Azizah, dkk</t>
  </si>
  <si>
    <t>978-623-5999-20-3</t>
  </si>
  <si>
    <t>Potret kinerja perguruan tinggi dalam menghadapi era revolusi industri 4.0</t>
  </si>
  <si>
    <t>H. Suwito, dkk</t>
  </si>
  <si>
    <t>978-623-5999-19-7</t>
  </si>
  <si>
    <t>Ketentuan umum dan tatacara perpajakan : serta faktor-faktor yang mempengaruhi kepatuhan wajib pajak</t>
  </si>
  <si>
    <t>H. A. Luthfi Hamidi, Siti Ma’sumah</t>
  </si>
  <si>
    <t>978-623-5999-18-0</t>
  </si>
  <si>
    <t>Nilai-nilai kepramukaan dalam Al-Qur’an</t>
  </si>
  <si>
    <t>Ahmad Sobirin</t>
  </si>
  <si>
    <t>978-623-5999-17-3</t>
  </si>
  <si>
    <t>Pengembangan keberagamaan anak tuna netra</t>
  </si>
  <si>
    <t>Toifur, Rahman Affandi</t>
  </si>
  <si>
    <t>978-623-5999-16-6</t>
  </si>
  <si>
    <t>Belajar teori dasar gitar</t>
  </si>
  <si>
    <t>Khulqian Afif</t>
  </si>
  <si>
    <t>978-623-5999-15-9</t>
  </si>
  <si>
    <t>0815-6828-4565</t>
  </si>
  <si>
    <t>Potret religiusitas dan toleransi beragama di kalangan pelajar SMA</t>
  </si>
  <si>
    <t>Suparjo, dkk</t>
  </si>
  <si>
    <t>978-623-5999-14-2</t>
  </si>
  <si>
    <t>Cerpen pesona alam dan budaya Pulau Sumatera</t>
  </si>
  <si>
    <t>Novi Mayasari, dkk</t>
  </si>
  <si>
    <t>978-623-5999-13-5</t>
  </si>
  <si>
    <t>Pesona alam dan budaya pulau Jawa : antologi cerpen</t>
  </si>
  <si>
    <t>978-623-5999-12-8</t>
  </si>
  <si>
    <t>0898-3755-170</t>
  </si>
  <si>
    <t>Pesona alam dan budaya Indonesia Timur</t>
  </si>
  <si>
    <t>978-623-5999-11-1</t>
  </si>
  <si>
    <t>Kholid Mawardi, dkk</t>
  </si>
  <si>
    <t>978-623-5999-10-4</t>
  </si>
  <si>
    <t>Pemanfaatan literasi digital sebagai basis pembelajaran moderasi beragama</t>
  </si>
  <si>
    <t>Syaefudin Achmad</t>
  </si>
  <si>
    <t>978-623-5999-09-8</t>
  </si>
  <si>
    <t>0858-7044-8628</t>
  </si>
  <si>
    <t>Pemodelan program inkubator bisnis bagi organisasi kepemudaan Islam untuk pengembangan produk unggulan perdesaan</t>
  </si>
  <si>
    <t>Mawi Khusni Albar, Khairunnisa Dwinalida, Yuliana</t>
  </si>
  <si>
    <t>978-623-5999-08-1</t>
  </si>
  <si>
    <t>Wonderful Kalimantan : antologi cerpen</t>
  </si>
  <si>
    <t>978-623-5999-07-4</t>
  </si>
  <si>
    <t>Pandemi Covid-19, inovasi dan pemberdayaan masyarakat</t>
  </si>
  <si>
    <t>Agung Pamilu, dkk</t>
  </si>
  <si>
    <t>978-623-5999-06-7</t>
  </si>
  <si>
    <t>Bimbingan keagamaan Islam klien pemasyarakatan</t>
  </si>
  <si>
    <t>Kaswan</t>
  </si>
  <si>
    <t>978-623-5999-05-0</t>
  </si>
  <si>
    <t>Semangat bangkit kembali di tengah pandemi</t>
  </si>
  <si>
    <t>Bayu Sudrajat, dkk</t>
  </si>
  <si>
    <t>978-623-5999-04-3</t>
  </si>
  <si>
    <t>Pola keberagamaan jamaah pengajian An Nahl di Yogyakarta</t>
  </si>
  <si>
    <t>Ida Novianti, Sidik Fauji, Gardina Akhla</t>
  </si>
  <si>
    <t>978-623-5999-03-6</t>
  </si>
  <si>
    <t>Visi keislaman dan kebangsaan ormas keagamaan di Indonesia</t>
  </si>
  <si>
    <t>Supriyanto, dkk</t>
  </si>
  <si>
    <t>978-623-5999-02-9</t>
  </si>
  <si>
    <t>Buku panduan praktikum aplikasi statistik pendidikan</t>
  </si>
  <si>
    <t>Mutijah, Ulfah Rulli Hastuti</t>
  </si>
  <si>
    <t>978-623-5999-01-2</t>
  </si>
  <si>
    <t>Bahan ajar basis data</t>
  </si>
  <si>
    <t>Ummi Athiyah, Rima Dias Ramadhani</t>
  </si>
  <si>
    <t>978-623-5999-00-5</t>
  </si>
  <si>
    <t>Madrasah sebagai lembaga pendidikan Islam : studi transformasi kelembagaan di MAN 1 Wonosobo dan MAN 2 Wonosobo</t>
  </si>
  <si>
    <t>H. Asdlori, M. A. Hermawan</t>
  </si>
  <si>
    <t>978-623-6018-99-6</t>
  </si>
  <si>
    <t>Moderasi beragama, ekonomi dan kesehatan masyarakat di masa pandemi Covid-19</t>
  </si>
  <si>
    <t>Samsul Arifin, dkk</t>
  </si>
  <si>
    <t>978-623-6018-98-9</t>
  </si>
  <si>
    <t>Pokok-pokok ilmu balaghah</t>
  </si>
  <si>
    <t>978-623-6018-97-2</t>
  </si>
  <si>
    <t>Pemetaan sosial (social mapping) masyarakat kelurahan Karangsentul &amp; desa Karangjengkol kabupaten Purbalingga</t>
  </si>
  <si>
    <t>Fitria Zana Kumala &amp; Rosna Intan Wulanjari</t>
  </si>
  <si>
    <t>978-623-6018-96-5</t>
  </si>
  <si>
    <t>Bersatu dalam kebinekaan : sebuah pengantar kolaborasi penelitian dosen dan mahasiswa</t>
  </si>
  <si>
    <t>Imam Ghozali, dkk</t>
  </si>
  <si>
    <t>978-623-6018-95-8</t>
  </si>
  <si>
    <t>Pembelajaran pada masa pandemi covid-19 di sekolah dasar program inklusi (studi naturalistik faktor sosial, ekonomi, dan psikologis di kabupaten Purbalingga)</t>
  </si>
  <si>
    <t>Rohmad, dkk</t>
  </si>
  <si>
    <t>978-623-6018-94-1</t>
  </si>
  <si>
    <t>Implementasi program kemitraan masyarakat dalam pemberdayaan petani labu kuning</t>
  </si>
  <si>
    <t>Suwanto, Roihatul Zahroh, Chabib Bahari</t>
  </si>
  <si>
    <t>978-623-6018-93-4</t>
  </si>
  <si>
    <t>Antara kampung Arab Kebumen dan kampung Inggris Kebumen (studi pengembangan bahasa asing melalui kampung bahasa di kabupaten Kebumen)</t>
  </si>
  <si>
    <t>Akhmad Sangid &amp; Ali Muhdi</t>
  </si>
  <si>
    <t>978-623-6018-92-7</t>
  </si>
  <si>
    <t>Simpul pergerakan</t>
  </si>
  <si>
    <t>Ully Azizah, dkk</t>
  </si>
  <si>
    <t>978-623-6018-91-0</t>
  </si>
  <si>
    <t>Annual book kegiatan MBKM dan magang</t>
  </si>
  <si>
    <t>Sunahrowi, dkk</t>
  </si>
  <si>
    <t>978-623-6018-90-3</t>
  </si>
  <si>
    <t>Integrasi pembelajaran bahasa Arab dengan nilai-nilai pendidikan agama Islam di Pesantren Sabilu El-Muhtadin di Cimanuk, Pandeglang, Banten</t>
  </si>
  <si>
    <t>Dina Indriana, dkk</t>
  </si>
  <si>
    <t>978-623-6018-89-7</t>
  </si>
  <si>
    <t>Moderasi beragama cermin politik ke-Indonesia-an : sebuah pengantar penelitian kolaborasi dosen dan mahasiswa</t>
  </si>
  <si>
    <t>978-623-6018-88-0</t>
  </si>
  <si>
    <t>Dari gunung untuk negeri (setitik asa di era pandemi) : antologi artikel pengabdian mahasiswa kaki Gunung Slamet</t>
  </si>
  <si>
    <t>Maria Ulfah, dkk</t>
  </si>
  <si>
    <t>978-623-6018-87-3</t>
  </si>
  <si>
    <t>B5</t>
  </si>
  <si>
    <t>Integritas nilai-nilai dalam masyarakat</t>
  </si>
  <si>
    <t>Asta Listiana, dkk</t>
  </si>
  <si>
    <t>978-623-6018-86-6</t>
  </si>
  <si>
    <t>The soul of counselor</t>
  </si>
  <si>
    <t>Dina Zulfa Mahfuda, dkk</t>
  </si>
  <si>
    <t>978-623-6018-85-9</t>
  </si>
  <si>
    <t>Pengembangan konsep paradigma integrasi keilmuan UIN Prof. K.H. Saifuddin Zuhri Purwokerto</t>
  </si>
  <si>
    <t>Fauzi, dkk</t>
  </si>
  <si>
    <t>978-623-6018-84-2</t>
  </si>
  <si>
    <t>Ranum : kumpulan cerpen Islami untuk anak</t>
  </si>
  <si>
    <t>Nur Hidayah</t>
  </si>
  <si>
    <t>978-623-6018-83-5</t>
  </si>
  <si>
    <t>Apresiasi sastra Perancis : sebuah model apresiasi karya sastra asing</t>
  </si>
  <si>
    <t>Sunahrowi</t>
  </si>
  <si>
    <t>978-623-6018-82-8</t>
  </si>
  <si>
    <t>0852-2554-0726</t>
  </si>
  <si>
    <t>Mengapa aku ber-IMM? : IMM Komisariat Ibrahim 2020/2021</t>
  </si>
  <si>
    <t>Dwi Ali Susanto, dkk</t>
  </si>
  <si>
    <t>978-623-6018-81-1</t>
  </si>
  <si>
    <t>Maqbul dan mardud dalam tafsir Isyari : studi atas tafsir Jailani karya Syaikh Abdul Qadir Jailani (470 H-561 H)</t>
  </si>
  <si>
    <t>Muhammad Labib Syauqi</t>
  </si>
  <si>
    <t>978-623-6018-80-4</t>
  </si>
  <si>
    <t>Karena pandemi : Kami mengabdi di kampung sendiri</t>
  </si>
  <si>
    <t>Yuni Maesaroh, dkk</t>
  </si>
  <si>
    <t>978-623-6018-79-8</t>
  </si>
  <si>
    <t>Pengabdian KKN MB-48 kepada masyarakat di masa pandemi (kluster 25)</t>
  </si>
  <si>
    <t>Rahma Anggita Laras, dkk</t>
  </si>
  <si>
    <t>978-623-6018-78-1</t>
  </si>
  <si>
    <t>Nanas memadu rindu coronapun berlalu</t>
  </si>
  <si>
    <t>Indri Setiyani, dkk</t>
  </si>
  <si>
    <t>978-623-6018-77-4</t>
  </si>
  <si>
    <t>Saatnya mahasiswa mengabdi</t>
  </si>
  <si>
    <t>Annisa Solikhah, dkk</t>
  </si>
  <si>
    <t>978-623-6018-76-7</t>
  </si>
  <si>
    <t>Serba-serbi pengabdian masyarakat mahasiswa KKN di masa pandemi Covid-19</t>
  </si>
  <si>
    <t>Aenun Mutoharoh, dkk</t>
  </si>
  <si>
    <t>978-623-6018-75-0</t>
  </si>
  <si>
    <t>Green science learning berorientasi mitos Telaga Ranjeng : lembar kerja peserta didik (LKPD)</t>
  </si>
  <si>
    <t>Anggraeni Mashinta Sulistyani, Zuhdan Kun Prasetyo, Farida Hanum</t>
  </si>
  <si>
    <t>978-623-6018-74-3</t>
  </si>
  <si>
    <t>A4</t>
  </si>
  <si>
    <t>Sastra dan tahun-tahun perjuangan</t>
  </si>
  <si>
    <t>Dimas Indiana Senja</t>
  </si>
  <si>
    <t>978-623-6018-73-6</t>
  </si>
  <si>
    <t>Nilai-nilai kepemimpinan dakwah K.H. Saifuddin Zuhri</t>
  </si>
  <si>
    <t>Enung Asmaya, Muridan</t>
  </si>
  <si>
    <t>978-623-6018-72-9</t>
  </si>
  <si>
    <t>Model pembelajaran bahasa Arab di madrasah aliyah berbasis pesantren</t>
  </si>
  <si>
    <t>Atabik, dkk</t>
  </si>
  <si>
    <t>978-623-6018-71-2</t>
  </si>
  <si>
    <t>Faktor sosial ekonomi, literasi keuangan syariah dan manajemen keuangan personal : pada dosen perguruan tinggi keagamaan Islam dan dosen perguruan tinggi umum di Indonesia</t>
  </si>
  <si>
    <t>H. Fathul Aminudin Aziz, Hastin Tri Utami, Kartika Wanojaleni</t>
  </si>
  <si>
    <t>978-623-6018-70-5</t>
  </si>
  <si>
    <t>Jejak-jejak pengabdian : langkah kami di masa pandemi</t>
  </si>
  <si>
    <t>Annisa Nur Wafiq Azizah, dkk</t>
  </si>
  <si>
    <t>978-623-6018-69-9</t>
  </si>
  <si>
    <t>Antologi pengembangan masyarakat berbasis kegiatan KKN : esai KKN DR klaster 57</t>
  </si>
  <si>
    <t>Afik Fathur Rohman, dkk</t>
  </si>
  <si>
    <t>978-623-6018-68-2</t>
  </si>
  <si>
    <t>Serpihan asa di kala pandemi</t>
  </si>
  <si>
    <t>Umi Salamah, dkk</t>
  </si>
  <si>
    <t>978-623-6018-67-5</t>
  </si>
  <si>
    <t>Ranjang pengantin : kumpulan cerpen</t>
  </si>
  <si>
    <t>Ade Mulyono</t>
  </si>
  <si>
    <t>978-623-6018-56-9</t>
  </si>
  <si>
    <t>Mahasiswa bisa apa? : partisipasi mahasiswa dalam pembangunan masyarakat desa</t>
  </si>
  <si>
    <t>Faichatul Jannah, dkk</t>
  </si>
  <si>
    <t>978-623-6018-55-2</t>
  </si>
  <si>
    <t>E-business : pemasaran UMKM dengan teknik digital marketing : pengantar belajar</t>
  </si>
  <si>
    <t>R. Bagus Bambang Sumantri</t>
  </si>
  <si>
    <t>978-623-6018-54-5</t>
  </si>
  <si>
    <t>Modul presentasi</t>
  </si>
  <si>
    <t>Nur Muniroh, dkk</t>
  </si>
  <si>
    <t>978-623-6018-53-8</t>
  </si>
  <si>
    <t>Modul rekayasa web</t>
  </si>
  <si>
    <t>978-623-6018-52-1</t>
  </si>
  <si>
    <t>Memoar Kiai Chariri : ulama yang menginspirasi</t>
  </si>
  <si>
    <t>Umi Afifah, H.M. Mudhofi, Enjang Burhanudin Yusuf</t>
  </si>
  <si>
    <t>978-623-6018-51-4</t>
  </si>
  <si>
    <t>Bimbingan dan pengawasan klien pemasyarakatan di masa pandemi covid-19 : studi pada Balai Pemasyarakatan Kelas II Purwokerto</t>
  </si>
  <si>
    <t>Yeri Adi Sulistiawan</t>
  </si>
  <si>
    <t>978-623-6018-50-7</t>
  </si>
  <si>
    <t>Supervisi akademik terhadap kinerja guru rumpun PAI : studi di MTs Al-Azhar Tembongraja Kec. Salem Kab. Brebes</t>
  </si>
  <si>
    <t>Ma’muron</t>
  </si>
  <si>
    <t>978-623-6018-49-1</t>
  </si>
  <si>
    <t>Modul pembelajaran Al-Qur’an ‘tadriji’</t>
  </si>
  <si>
    <t>Tim Markaz Al-Qur’an Pondok Pesantren “Wali Songo” Ngabar</t>
  </si>
  <si>
    <t>978-623-6018-48-4</t>
  </si>
  <si>
    <t>Catatan publikasi madrasah</t>
  </si>
  <si>
    <t>978-623-6018-47-7</t>
  </si>
  <si>
    <t>Modul rekayasa perangkat lunak : Power Designer dan Rational Rose</t>
  </si>
  <si>
    <t>Nur Muniroh</t>
  </si>
  <si>
    <t>978-623-6018-46-0</t>
  </si>
  <si>
    <t>Modul praktikum komputer bisnis Microsoft Word dan Microsoft Excel</t>
  </si>
  <si>
    <t>Dede Yusuf, Nurul Alfiah, Nur Muniroh</t>
  </si>
  <si>
    <t>978-623-6018-45-3</t>
  </si>
  <si>
    <t>Hukum Islam menjawab persoalan kehidupan : 80 persoalan keislaman yang layak diketahui</t>
  </si>
  <si>
    <t>H. Ridwan</t>
  </si>
  <si>
    <t>978-623-6018-44-6</t>
  </si>
  <si>
    <t>Mendidik cara Gus Mie</t>
  </si>
  <si>
    <t>Kholis Muamalah</t>
  </si>
  <si>
    <t>978-623-6018-43-9</t>
  </si>
  <si>
    <t>Konsep mekanika, kinematika, dinamika dan contoh soal dalam fisika SMA/MA kurikulum 2013 revisi</t>
  </si>
  <si>
    <t>Musri</t>
  </si>
  <si>
    <t>978-623-6018-42-2</t>
  </si>
  <si>
    <t>Lika-liku luka lelaki</t>
  </si>
  <si>
    <t>Ahmad Syafi'i</t>
  </si>
  <si>
    <t>978-623-6018-41-5</t>
  </si>
  <si>
    <t>Penilaian HOTS : pembelajaran PAI dan budi pekerti di SD</t>
  </si>
  <si>
    <t>Rohmad &amp; Mauliya Nandra Arif Fani</t>
  </si>
  <si>
    <t>978-623-6018-40-8</t>
  </si>
  <si>
    <t>Dari kampus untuk negeri di tengah pandemi</t>
  </si>
  <si>
    <t>Sarno Hanipudin (editor)</t>
  </si>
  <si>
    <t>978-623-6018-39-2</t>
  </si>
  <si>
    <t>Matematisasi Islam : sebuah pembelajaran integratif dengan pendekatan STEAM</t>
  </si>
  <si>
    <t>Kusno, Ahmad</t>
  </si>
  <si>
    <t>978-623-6018-38-5</t>
  </si>
  <si>
    <t>Pengembangan instrumen penilaian hasil belajar mata pelajaran fiqh di madrasah aliyah</t>
  </si>
  <si>
    <t>Dwi Priyanto</t>
  </si>
  <si>
    <t>978-623-6018-37-8</t>
  </si>
  <si>
    <t>Pendidikan berbasis nilai-nilai profetik di madrasah ibtidaiyah</t>
  </si>
  <si>
    <t>978-623-6018-36-1</t>
  </si>
  <si>
    <t>Merawat kebhinekhaan dari bawah</t>
  </si>
  <si>
    <t>Afianti, dkk</t>
  </si>
  <si>
    <t>978-623-6018-35-4</t>
  </si>
  <si>
    <t>Mahir Inggris dengan 40 mobile apps : untuk belajar mandiri maupun sebagai bahan ajar</t>
  </si>
  <si>
    <t>Muhammad Hasbi</t>
  </si>
  <si>
    <t>978-623-6018-34-7</t>
  </si>
  <si>
    <t>Teori belajar dan implementasinya dalam pembelajaran</t>
  </si>
  <si>
    <t>Novi Mayasari</t>
  </si>
  <si>
    <t>978-623-6018-33-0</t>
  </si>
  <si>
    <t>Psikologi pendidikan : kesulitan belajar anak dan cara mengatasinya</t>
  </si>
  <si>
    <t>978-623-6018-32-3</t>
  </si>
  <si>
    <t>Uswatun khasanah</t>
  </si>
  <si>
    <t>Muhyi Fadlil</t>
  </si>
  <si>
    <t>978-623-6018-31-6</t>
  </si>
  <si>
    <t>Napak tilas : otobiografi Muhyi Kalender – kisah perjalanan dari sekolah ke sekolah berakhir di PKBM Nuju Pinter Cilongok</t>
  </si>
  <si>
    <t>Muhyi Fadlil, Suyanti, Laelatul Qodriyah</t>
  </si>
  <si>
    <t>978-623-6018-30-9</t>
  </si>
  <si>
    <t>Sajak-sajak dari hati : menulis bersama rangkai aksara</t>
  </si>
  <si>
    <t>Lindawati Syamsuri, dkk</t>
  </si>
  <si>
    <t>978-623-6018-29-3</t>
  </si>
  <si>
    <t>Deteksi bakat dan kecerdasan anak berdasarkan kecerdasannya : analisis teori multiple intelligences</t>
  </si>
  <si>
    <t>978-623-6018-28-6</t>
  </si>
  <si>
    <t>Jelajah virtual</t>
  </si>
  <si>
    <t>Komang Dewi Kusuma Wijaya</t>
  </si>
  <si>
    <t>978-623-6018-27-9</t>
  </si>
  <si>
    <t>Bangkit : buku dua tubuh; kutipan dan puisi</t>
  </si>
  <si>
    <t>Nur Khasanah</t>
  </si>
  <si>
    <t>978-623-6018-26-2</t>
  </si>
  <si>
    <t>Catatan perjalanan 20 tahun pusat kegiatan belajar masyarakat Nuju Pinter Cilongok berbasis komputer</t>
  </si>
  <si>
    <t>Muhyi Fadlil, dkk</t>
  </si>
  <si>
    <t>978-623-6018-25-5</t>
  </si>
  <si>
    <t>Kumpulan kutipan motivasi kehidupan : kau boleh jatuh dan itu wajar, tetapi bangkit adalah keharusan</t>
  </si>
  <si>
    <t>Ahmad Fikri</t>
  </si>
  <si>
    <t>978-623-6018-24-8</t>
  </si>
  <si>
    <t>Hujan sajak di Kota Semarang</t>
  </si>
  <si>
    <t>Arif Hidayat</t>
  </si>
  <si>
    <t>978-623-6018-23-1</t>
  </si>
  <si>
    <t>Dekat dengan matematika</t>
  </si>
  <si>
    <t>Ifada Novikasari</t>
  </si>
  <si>
    <t>978-623-6018-22-4</t>
  </si>
  <si>
    <t>The agent’s : “munculnya seseorang dari masa lalu”</t>
  </si>
  <si>
    <t>Tegar Setiadi</t>
  </si>
  <si>
    <t>978-623-6018-21-7</t>
  </si>
  <si>
    <t>Diary santri Covid</t>
  </si>
  <si>
    <t>Anna Aruna</t>
  </si>
  <si>
    <t>978-623-6018-20-0</t>
  </si>
  <si>
    <t>Seruling emas dan burung kecil : kisah-kisah polos yang menarik</t>
  </si>
  <si>
    <t>Siswa SD NU Master Sokaraja</t>
  </si>
  <si>
    <t>978-623-6018-19-4</t>
  </si>
  <si>
    <t>Pantang menyerah maju ke depan</t>
  </si>
  <si>
    <t>Bagas Prakoso</t>
  </si>
  <si>
    <t>978-623-6018-18-7</t>
  </si>
  <si>
    <t>Pembelajaran fiqih di pesantren : berbasis teori konstruktivisme</t>
  </si>
  <si>
    <t>978-623-6018-17-0</t>
  </si>
  <si>
    <t>Pandemi (Bunga Rampai) : meningkatkan peran mahasiswa dalam pengembangan nilai-nilai moderasi beragama dan sosial-budaya di masyarakat pada masa pandemi Covid-19</t>
  </si>
  <si>
    <t>Rida Eka Vianti, dkk</t>
  </si>
  <si>
    <t>978-623-6018-66-8</t>
  </si>
  <si>
    <t>Dedikasi mahasiswa untuk negeri, bersama melawan pandemi : ragam cerita KKN mahasiswa klaster 55 UIN Saifuddin Zuhri</t>
  </si>
  <si>
    <t>Novian Enda Amentariahta, dkk</t>
  </si>
  <si>
    <t>978-623-6018-65-1</t>
  </si>
  <si>
    <t>Moderasi dalam pengabdian kami</t>
  </si>
  <si>
    <t>Dila Fadila, dkk</t>
  </si>
  <si>
    <t>978-623-6018-64-4</t>
  </si>
  <si>
    <t>Sebuah pengabdian : bunga rampai kegiatan KKN DR-48 cluster 2 UIN Saifuddin Zuhri Purwokerto</t>
  </si>
  <si>
    <t>Anugrah Mustika Aji, dkk</t>
  </si>
  <si>
    <t>978-623-6018-63-7</t>
  </si>
  <si>
    <t>Menilik fenomena pengabdian masyarakat di masa pandemi : KKN-MB klaster 58</t>
  </si>
  <si>
    <t>Nanda Jelis Septiana, dkk</t>
  </si>
  <si>
    <t>978-623-6018-62-0</t>
  </si>
  <si>
    <t>Evaluasi pelaksanaan akademik</t>
  </si>
  <si>
    <t>Hartono, Arif Hidayat, Futihat Rizqi Amalia</t>
  </si>
  <si>
    <t>978-623-6018-61-3</t>
  </si>
  <si>
    <t>Risalah cinta Kiai Syamsul</t>
  </si>
  <si>
    <t>Rujito, dkk</t>
  </si>
  <si>
    <t>978-623-6018-60-6</t>
  </si>
  <si>
    <t>Festival puisi ma’arif</t>
  </si>
  <si>
    <t>Fauzi Tasdik, dkk</t>
  </si>
  <si>
    <t>978-623-6018-59-0</t>
  </si>
  <si>
    <t>Gotong royong memutus rantai kekerasan</t>
  </si>
  <si>
    <t>Robertus Sutriyono</t>
  </si>
  <si>
    <t>978-623-6018-58-3</t>
  </si>
  <si>
    <t>A5 (13 x 19,5 cm)</t>
  </si>
  <si>
    <t>Pengabdian Jaisyul Usrah-Nya masa pandemi Covid-19</t>
  </si>
  <si>
    <t>Ananda Nafila Zahra, dkk</t>
  </si>
  <si>
    <t>978-623-6018-57-6</t>
  </si>
  <si>
    <t>Analisis kebijakan PAUD</t>
  </si>
  <si>
    <t>Novan Ardy Wiyani</t>
  </si>
  <si>
    <t>978-623-6018-16-3</t>
  </si>
  <si>
    <t>Arah baru PMII : ideologi, gerakan, quo vadis</t>
  </si>
  <si>
    <t>Anwar Aziz</t>
  </si>
  <si>
    <t>978-623-6018-15-6</t>
  </si>
  <si>
    <t>Olah otak : melatih kemampuan numerasi</t>
  </si>
  <si>
    <t>978-623-6018-14-9</t>
  </si>
  <si>
    <t>A lost belossa</t>
  </si>
  <si>
    <t>Indana Salwa &amp; Maulida Najwa</t>
  </si>
  <si>
    <t>978-623-6018-13-2</t>
  </si>
  <si>
    <t>Pengantar dasar-dasar psikologi agama</t>
  </si>
  <si>
    <t>H. Abdul Khobir</t>
  </si>
  <si>
    <t>978-623-6018-12-5</t>
  </si>
  <si>
    <t>0815-6669-246</t>
  </si>
  <si>
    <t>Lentera bangsa</t>
  </si>
  <si>
    <t>Andriansyah</t>
  </si>
  <si>
    <t>978-623-6018-11-8</t>
  </si>
  <si>
    <t>Mata pena</t>
  </si>
  <si>
    <t>978-623-6018-10-1</t>
  </si>
  <si>
    <t>Skripsweet : manisnya skripsi, kita yang tentukan</t>
  </si>
  <si>
    <t>Afifah Nurlaila &amp; Sri Lasmini</t>
  </si>
  <si>
    <t>978-623-6018-09-5</t>
  </si>
  <si>
    <t>Sebuah buku untuk dirimu yang sedang berulang tahun</t>
  </si>
  <si>
    <t>Danny Putra Febriansyah</t>
  </si>
  <si>
    <t>978-623-6018-08-8</t>
  </si>
  <si>
    <t>Kang Zahid : perjalanan cinta, syariat &amp; spiritual penyuluh agama di kaki Gunung Slamet</t>
  </si>
  <si>
    <t>Itha Rokhyani Haris</t>
  </si>
  <si>
    <t>978-623-6018-07-1</t>
  </si>
  <si>
    <t>Balada kesunyian</t>
  </si>
  <si>
    <t>978-623-6018-06-4</t>
  </si>
  <si>
    <t>Cinta dan seoles mentega : kisah-kisah cinta dalam 5 dan 3 paragraf</t>
  </si>
  <si>
    <t>Sutriyono Robert</t>
  </si>
  <si>
    <t>978-623-6018-05-7</t>
  </si>
  <si>
    <t>Mamake curhat</t>
  </si>
  <si>
    <t>Erna Ubaid, dkk</t>
  </si>
  <si>
    <t>978-623-6018-04-0</t>
  </si>
  <si>
    <t>Wajah asli santri : kumpulan puisi</t>
  </si>
  <si>
    <t>Nasta'in</t>
  </si>
  <si>
    <t>978-623-6018-03-3</t>
  </si>
  <si>
    <t>Wajah baru kerukunan umat beragama masyarakat Indonesia</t>
  </si>
  <si>
    <t>Saifunnajar</t>
  </si>
  <si>
    <t>978-623-6018-02-6</t>
  </si>
  <si>
    <t>Bahasa asing Asia</t>
  </si>
  <si>
    <t>Aditya Khoirussai (editor)</t>
  </si>
  <si>
    <t>978-623-6018-01-9</t>
  </si>
  <si>
    <t>Bahasa asing Eropa</t>
  </si>
  <si>
    <t>Singgih Kuswardono (penyunting)</t>
  </si>
  <si>
    <t>978-623-6018-00-2</t>
  </si>
  <si>
    <t>0857-4386-4937</t>
  </si>
  <si>
    <t>Kearifan lokal dalam penyelamatan lingkungan hidup : kajian atas budaya masyarakat bengkalis</t>
  </si>
  <si>
    <t>Imam Hakim</t>
  </si>
  <si>
    <t>978-623-7678-99-1</t>
  </si>
  <si>
    <t>Bunga rampai linguistik lintas bahasa : pengantar kajian bahasa Asing, Perancis, Jepang, dan Arab</t>
  </si>
  <si>
    <t>Singgih Kuswardono, Aditya Khoirussai</t>
  </si>
  <si>
    <t>978-623-7678-98-4</t>
  </si>
  <si>
    <t>Memang mengapa?</t>
  </si>
  <si>
    <t>Fiezu Himmah, dkk</t>
  </si>
  <si>
    <t>978-623-7678-97-7</t>
  </si>
  <si>
    <t>Konseling untuk berbagai permasalahan</t>
  </si>
  <si>
    <t>Zaenal Abidin, Alief Budiono</t>
  </si>
  <si>
    <t>978-623-7678-96-0</t>
  </si>
  <si>
    <t>Perkembangan tarekat khalwatiyah</t>
  </si>
  <si>
    <t>H. Saude, Hamka</t>
  </si>
  <si>
    <t>978-623-7678-95-3</t>
  </si>
  <si>
    <t>Ela langkah nabastala</t>
  </si>
  <si>
    <t>Cosmas D. Davitson, dkk</t>
  </si>
  <si>
    <t>978-623-7678-94-6</t>
  </si>
  <si>
    <t>Bertualang untuk kembali pulang : catatan hikmah ayah petualang</t>
  </si>
  <si>
    <t>Mukhamad Kholik</t>
  </si>
  <si>
    <t>978-623-7678-93-9</t>
  </si>
  <si>
    <t>Mengabdi di musim pandemi untuk kuatnya ibu pertiwi</t>
  </si>
  <si>
    <t>Pengabdi Cluster 33 Angkatan 46</t>
  </si>
  <si>
    <t>978-623-7678-92-2</t>
  </si>
  <si>
    <t>Pengembangan bahasa anak usia dini</t>
  </si>
  <si>
    <t>Heru Kurniawan, Kasmiati</t>
  </si>
  <si>
    <t>978-623-7678-91-5</t>
  </si>
  <si>
    <t>Analisis SWOT : konsep dan praktiknya pada bidang bisnis</t>
  </si>
  <si>
    <t>Sulasih</t>
  </si>
  <si>
    <t>978-623-7678-90-8</t>
  </si>
  <si>
    <t>Perjalananku dan dia</t>
  </si>
  <si>
    <t>Lione Putri Misani</t>
  </si>
  <si>
    <t>978-623-7678-89-2</t>
  </si>
  <si>
    <t>Sintaksis Arab : kaidah nahwu</t>
  </si>
  <si>
    <t>Mohamad Yusuf Ahmad Hasyim</t>
  </si>
  <si>
    <t>978-623-7678-88-5</t>
  </si>
  <si>
    <t>Pendidikan di era revolusi industri 4.0</t>
  </si>
  <si>
    <t>Syamsul Huda, dkk</t>
  </si>
  <si>
    <t>978-623-7678-87-8</t>
  </si>
  <si>
    <t>Pembelajaran bercerita</t>
  </si>
  <si>
    <t>Sunardi</t>
  </si>
  <si>
    <t>978-623-7678-86-1</t>
  </si>
  <si>
    <t>Unlimited teacher : catatan perjalanan gurumu yang tak sempurna</t>
  </si>
  <si>
    <t>Epong Utami</t>
  </si>
  <si>
    <t>978-623-7678-85-4</t>
  </si>
  <si>
    <t>Model tazkiyat al-nafs dalam tradisi sufi</t>
  </si>
  <si>
    <t>Suwito</t>
  </si>
  <si>
    <t>978-623-7678-84-7</t>
  </si>
  <si>
    <t>Sistem bunyi dan tulisan Arab</t>
  </si>
  <si>
    <t>Singgih Kuswardono</t>
  </si>
  <si>
    <t>978-623-7678-83-0</t>
  </si>
  <si>
    <t>Pengkajian puisi Perancis</t>
  </si>
  <si>
    <t>Sunahrowi, Suluh Edhi Wibowo</t>
  </si>
  <si>
    <t>978-623-7678-82-3</t>
  </si>
  <si>
    <t>Materi pengkaderan IPNU-IPPNU pimpinan cabang kab. Banyumas</t>
  </si>
  <si>
    <t>Mohammad Luqman, dkk</t>
  </si>
  <si>
    <t>978-623-7678-81-6</t>
  </si>
  <si>
    <t>Secercah harapan di masa Corona : membangun solidaritas di masa pandemi</t>
  </si>
  <si>
    <t>Titik Sudiatmi, dkk</t>
  </si>
  <si>
    <t>978-623-7678-80-9</t>
  </si>
  <si>
    <t>Pengajaran menulis puisi : metode-metode kreatif dalam mengajarkan puisi di sekolah</t>
  </si>
  <si>
    <t>Fiqih Arizni Jannatun N, dkk</t>
  </si>
  <si>
    <t>978-623-7678-79-3</t>
  </si>
  <si>
    <t>Tasbih Ndoro Habib : serta dua huruf yang aku cinta</t>
  </si>
  <si>
    <t>Kang Sakdun, Abdulloh Amir, Wahyu Ceha</t>
  </si>
  <si>
    <t>978-623-7678-78-6</t>
  </si>
  <si>
    <t>Sweven</t>
  </si>
  <si>
    <t>Markeel_j</t>
  </si>
  <si>
    <t>978-623-7678-77-9</t>
  </si>
  <si>
    <t>Sosiologi pendidikan</t>
  </si>
  <si>
    <t>Tutuk Ningsih</t>
  </si>
  <si>
    <t>978-623-7678-76-2</t>
  </si>
  <si>
    <t>Membaca nyaring : praktik baik orang tua membacakan buku pada anak</t>
  </si>
  <si>
    <t>Desty Putry Hanifah, dkk</t>
  </si>
  <si>
    <t>978-623-7678-75-5</t>
  </si>
  <si>
    <t>Membaca nyaring praktik baik orang tua membacakan buku pada anak</t>
  </si>
  <si>
    <t>978-623-7678-74-8</t>
  </si>
  <si>
    <t>Strategi pembelajaran bahasa Arab</t>
  </si>
  <si>
    <t>Kasmiati</t>
  </si>
  <si>
    <t>978-623-7678-73-1</t>
  </si>
  <si>
    <t>Alfiah : catatan sejarah sebelum Indonesia merdeka</t>
  </si>
  <si>
    <t>Abu Hurairah</t>
  </si>
  <si>
    <t>978-623-7678-72-4</t>
  </si>
  <si>
    <t>Teka-teki : kumpulan cerpen</t>
  </si>
  <si>
    <t>Kaylanaya Djatmiko</t>
  </si>
  <si>
    <t>978-623-7678-71-7</t>
  </si>
  <si>
    <t>Hujan dan rindu</t>
  </si>
  <si>
    <t>Iis Dyah Ayuningrum</t>
  </si>
  <si>
    <t>978-623-7678-70-0</t>
  </si>
  <si>
    <t>Se-antara kau dan aku di Yogyakarta</t>
  </si>
  <si>
    <t>Hendrik Efriyadi, dkk</t>
  </si>
  <si>
    <t>978-623-7678-69-4</t>
  </si>
  <si>
    <t>Manajemen boarding school</t>
  </si>
  <si>
    <t>Siti Muflikhah</t>
  </si>
  <si>
    <t>978-623-7678-68-7</t>
  </si>
  <si>
    <t>Strategi peperangan Khalid bin Walid dalam perang Mu’tah dan perang Yarmuk</t>
  </si>
  <si>
    <t>Tazkiyyatur Rohmah</t>
  </si>
  <si>
    <t>978-623-7678-67-0</t>
  </si>
  <si>
    <t>Arah baru pengembangan ulumul Qur’an : konstruksi, rekonstruksi, dan dekonstruksi</t>
  </si>
  <si>
    <t>Munawir</t>
  </si>
  <si>
    <t>978-623-7678-66-3</t>
  </si>
  <si>
    <t>Hayya nata‘alamu al-lughatul al-‘arabiyyatu : mihwarotu al-qira’ah</t>
  </si>
  <si>
    <t>Moh. Hasyim Asy‘ari</t>
  </si>
  <si>
    <t>978-623-7678-65-6</t>
  </si>
  <si>
    <t>Dunia tanpa warna</t>
  </si>
  <si>
    <t>Izza Nadhira, dkk</t>
  </si>
  <si>
    <t>978-623-7678-64-9</t>
  </si>
  <si>
    <t>Ada rawon kalkulator di Surabaya</t>
  </si>
  <si>
    <t>Eunike Ayodhya Hernawan, dkk</t>
  </si>
  <si>
    <t>978-623-7678-63-2 (PDF)</t>
  </si>
  <si>
    <t>Corona membuka mata semesta</t>
  </si>
  <si>
    <t>Sarwiji Suwandi, Abdul Wachid B.S.</t>
  </si>
  <si>
    <t>978-623-7678-62-5</t>
  </si>
  <si>
    <t>C-19</t>
  </si>
  <si>
    <t>Narto Triono, dkk</t>
  </si>
  <si>
    <t>978-623-7678-61-8</t>
  </si>
  <si>
    <t>Goresan tinta bunda : kumpulan pengalaman menarik bunda-bunda hebat selama home learning</t>
  </si>
  <si>
    <t>Sri Rahayu, dkk</t>
  </si>
  <si>
    <t>978-623-7678-60-1</t>
  </si>
  <si>
    <t>Rindu dalam polaroid berdebu</t>
  </si>
  <si>
    <t>Dhiya Ghaitsa R, dkk</t>
  </si>
  <si>
    <t>978-623-7678-58-8</t>
  </si>
  <si>
    <t>Perempuan dalam berbagai profesi dalam membincang buku bacaan anak</t>
  </si>
  <si>
    <t>Cintya Nurika Irma, dkk</t>
  </si>
  <si>
    <t>978-623-7678-59-5 (PDF)</t>
  </si>
  <si>
    <t>Langit yang menyembunyikan mendung</t>
  </si>
  <si>
    <t>Muhibah Muhaemin, dkk</t>
  </si>
  <si>
    <t>978-623-7678-57-1</t>
  </si>
  <si>
    <t>Belajar pada manggaleh</t>
  </si>
  <si>
    <t>Nur Ainun, dkk</t>
  </si>
  <si>
    <t>978-623-7678-55-7</t>
  </si>
  <si>
    <t>Panduan pelaksanaan Kuliah Kerja Nyata-Dari Rumah (KKN-DR) angkatan VI tahun 2020 STAIN Bengkalis</t>
  </si>
  <si>
    <t>978-623-7678-56-4</t>
  </si>
  <si>
    <t>Jadi kasirnya Allah</t>
  </si>
  <si>
    <t>M. Anwar Sani, dkk</t>
  </si>
  <si>
    <t>978-623-7678-54-0</t>
  </si>
  <si>
    <t>Kisah cinta terlarang mas Paijo</t>
  </si>
  <si>
    <t>978-623-7678-53-3</t>
  </si>
  <si>
    <t>Kajian keislaman &amp; peningkatan religiusitas</t>
  </si>
  <si>
    <t>Sholikhatun Hanifia</t>
  </si>
  <si>
    <t>978-623-7678-52-6</t>
  </si>
  <si>
    <t>Lekas sembuh bumiku</t>
  </si>
  <si>
    <t>Annisa Syifa Ramadhani, dkk</t>
  </si>
  <si>
    <t>978-623-7678-50-2</t>
  </si>
  <si>
    <t>Satu pesan untuk negeriku</t>
  </si>
  <si>
    <t>978-623-7678-51-9</t>
  </si>
  <si>
    <t>Ibu, jangan marah, ya!</t>
  </si>
  <si>
    <t>Jayanti, dkk</t>
  </si>
  <si>
    <t>978-623-7678-49-6</t>
  </si>
  <si>
    <t>Agama, politik, dan negara</t>
  </si>
  <si>
    <t>978-623-7678-48-9</t>
  </si>
  <si>
    <t>Semua menutup pintu untuk duka kota</t>
  </si>
  <si>
    <t>Cosmas Davitson, dkk</t>
  </si>
  <si>
    <t>978-623-7678-46-5</t>
  </si>
  <si>
    <t>Pulang : antologi kelir puisi 2</t>
  </si>
  <si>
    <t>Sulis Setiawati, dkk</t>
  </si>
  <si>
    <t>978-623-7678-47-2</t>
  </si>
  <si>
    <t>Covid-19 dan perkembangan fiqh kontemporer</t>
  </si>
  <si>
    <t>978-623-7678-43-4</t>
  </si>
  <si>
    <t>Terima kasih, ayah atas lagu malamnya</t>
  </si>
  <si>
    <t>Sarwito, dkk</t>
  </si>
  <si>
    <t>978-623-7678-45-8</t>
  </si>
  <si>
    <t>Sarapan yang hambar : kumpulan sajak yang berantakan</t>
  </si>
  <si>
    <t>Zain Fauzan Naufal</t>
  </si>
  <si>
    <t>978-623-7678-44-1</t>
  </si>
  <si>
    <t>Peluk hangat adik dan kakak</t>
  </si>
  <si>
    <t>Ariesma Setyarum, dkk</t>
  </si>
  <si>
    <t>978-623-7678-42-7</t>
  </si>
  <si>
    <t>Selamat pagi guruku</t>
  </si>
  <si>
    <t>KKG Gugus Puntadewa Korwilcam Dindik Somagede</t>
  </si>
  <si>
    <t>978-623-7678-40-3</t>
  </si>
  <si>
    <t>Al-fawaid al-muhtaroh : al-muhtawa ‘ala asma’i auliyaillahi wa-awliya’iha fi anwa’i ad-da’awat</t>
  </si>
  <si>
    <t>Nurul Huda</t>
  </si>
  <si>
    <t>978-623-7678-41-0</t>
  </si>
  <si>
    <t>Sistem khilafah : antara rindu dan realita sejarah</t>
  </si>
  <si>
    <t>978-623-7678-39-7</t>
  </si>
  <si>
    <t>Martabak cokelat keju</t>
  </si>
  <si>
    <t>Anggota Mading &amp; Jurnalistik Bimasakti SMA Negeri 5 Purwokerto</t>
  </si>
  <si>
    <t>978-623-7678-38-0</t>
  </si>
  <si>
    <t>Panduan fiqih jenazah lengkap : disertai hadis dan pendapat ulama</t>
  </si>
  <si>
    <t>Rahman dan Imam Ghozali</t>
  </si>
  <si>
    <t>978-623-7678-37-3</t>
  </si>
  <si>
    <t>Hubungan akidah, akhlak, dan tasawuf</t>
  </si>
  <si>
    <t>978-623-7678-36-6</t>
  </si>
  <si>
    <t>Menjadi orang tua hebat : 57 kiat parenting untuk anak usia dini</t>
  </si>
  <si>
    <t>Mahasiswa PIAUD IAIN Syekh Nurjati Cirebon</t>
  </si>
  <si>
    <t>978-623-7678-34-2</t>
  </si>
  <si>
    <t>Ketika mahasiswa melihat Tuhan</t>
  </si>
  <si>
    <t>978-623-7678-35-9</t>
  </si>
  <si>
    <t>Kisah asyik di asrama</t>
  </si>
  <si>
    <t>Siswa-siswi MIN 1 Banyumas</t>
  </si>
  <si>
    <t>978-623-7678-32-8</t>
  </si>
  <si>
    <t>Kipas : karya inovasi puisi pantun dan syair</t>
  </si>
  <si>
    <t>978-623-7678-33-5</t>
  </si>
  <si>
    <t>Inspirasi hidup : belajar dari episode kisah Yusuf dalam tafsir Al-Misbah</t>
  </si>
  <si>
    <t>A. M. Ismatulloh</t>
  </si>
  <si>
    <t>978-623-7678-31-1</t>
  </si>
  <si>
    <t>66 kumpulan dongeng fabel karakter baik</t>
  </si>
  <si>
    <t>978-623-7678-30-4</t>
  </si>
  <si>
    <t>Jejak sandal Selen</t>
  </si>
  <si>
    <t>Siswa-siswi MM Al Hikmah 2</t>
  </si>
  <si>
    <t>978-623-7678-28-1</t>
  </si>
  <si>
    <t>Asal-usul cerita rakyat Jakarta</t>
  </si>
  <si>
    <t>Nur Badriah, dkk</t>
  </si>
  <si>
    <t>978-623-7678-29-8</t>
  </si>
  <si>
    <t>Utopia politik ISIS</t>
  </si>
  <si>
    <t>978-623-7678-27-4</t>
  </si>
  <si>
    <t>08821-2415-3447</t>
  </si>
  <si>
    <t>Aku bangga jadi santri</t>
  </si>
  <si>
    <t>Alamsyah Hanafiah</t>
  </si>
  <si>
    <t>978-623-7678-26-7</t>
  </si>
  <si>
    <t>Mediasi dan implementasi teknik bimbingan dan konseling pada kasus syikak</t>
  </si>
  <si>
    <t>Kasmiati, Rusli Takunas</t>
  </si>
  <si>
    <t>978-623-7678-24-3</t>
  </si>
  <si>
    <t>Sistem zonasi : dampak kualitas input bagi madrasah ibtidaiyah</t>
  </si>
  <si>
    <t>Ulpah Maspupah</t>
  </si>
  <si>
    <t>978-623-7678-25-0</t>
  </si>
  <si>
    <t>Pengembangan bahan ajar bahasa Inggris berorientasi Higher Order Thinking Skills (HOTS) bagi siswa Madrasah Ibtidaiyah (MI)</t>
  </si>
  <si>
    <t>Siswadi, Yulian Purnama, Riris Eka Setiani</t>
  </si>
  <si>
    <t>978-623-7678-21-2</t>
  </si>
  <si>
    <t>Islam : deradikalisme dan wacana media</t>
  </si>
  <si>
    <t>Muridan, Nurma Ali Ridwan</t>
  </si>
  <si>
    <t>978-623-7678-23-6</t>
  </si>
  <si>
    <t>Percikan-percikan peradaban Islam</t>
  </si>
  <si>
    <t>Deswanda, dkk</t>
  </si>
  <si>
    <t>978-623-7678-22-9</t>
  </si>
  <si>
    <t>Senja di langit Purwokerto : kisah motivasi di sekitar kita</t>
  </si>
  <si>
    <t>Siti Mir'atul Auliya, dkk</t>
  </si>
  <si>
    <t>978-623-7678-19-9</t>
  </si>
  <si>
    <t>Peran good university governance dan komunikasi dalam meningkatkan excellent service dan kepercayaan pelanggan</t>
  </si>
  <si>
    <t>Siti Ma'sumah</t>
  </si>
  <si>
    <t>978-623-7678-17-5</t>
  </si>
  <si>
    <t>UMKM di era baru kewirausahaan</t>
  </si>
  <si>
    <t>H. Fathul Aminudin Aziz, Hastin Tri Utami</t>
  </si>
  <si>
    <t>978-623-7678-20-5</t>
  </si>
  <si>
    <t>Pembelajaran bahasa Arab : studi aplikatif di kampung Arab Kebumen</t>
  </si>
  <si>
    <t>Atabik, M. Slamet Yahya</t>
  </si>
  <si>
    <t>978-623-7678-18-2</t>
  </si>
  <si>
    <t>Pengantar studi Islam</t>
  </si>
  <si>
    <t>Rini Winarsih, dkk</t>
  </si>
  <si>
    <t>978-623-7678-16-8</t>
  </si>
  <si>
    <t>Inspirasi mendidik anak masa kini : mendidik mulai dari anak usia dini hingga remaja – 33 seri parenting pembentuk karakter</t>
  </si>
  <si>
    <t>Budiyanti Anggit, Siti Romdiyah</t>
  </si>
  <si>
    <t>978-623-7678-15-1</t>
  </si>
  <si>
    <t>Pengembangan instrumen evaluasi ranah afektif mata pelajaran akidah akhlak di madrasah tsanawiyah</t>
  </si>
  <si>
    <t>H. Rohmad, Abu Dharin, Donny Khoirul Azis</t>
  </si>
  <si>
    <t>978-623-7678-14-4</t>
  </si>
  <si>
    <t>Balada orang melarat : antologi cerpen dan puisi SMA Negeri 1 Bukateja</t>
  </si>
  <si>
    <t>Areta Shabiha R., dkk</t>
  </si>
  <si>
    <t>978-623-7678-13-7</t>
  </si>
  <si>
    <t>Prinsip-prinsip pemerintahan dalam Islam : kajian kitab Al-Ahkam Al-Sulthaniyah karya Imam Al-Mawardi</t>
  </si>
  <si>
    <t>Ma'sum Ansori</t>
  </si>
  <si>
    <t>978-623-7678-11-3</t>
  </si>
  <si>
    <t>Model dan metode pembelajaran di sekolah yang menyenangkan</t>
  </si>
  <si>
    <t>Isna Arifatun, Galuh Sandra Pangesti</t>
  </si>
  <si>
    <t>978-623-7678-12-0</t>
  </si>
  <si>
    <t>Hadis risalah dan ghairu risalah : telaah pemikiran hadis Al-Dahlawi</t>
  </si>
  <si>
    <t>978-623-7678-10-6</t>
  </si>
  <si>
    <t>Selarik inspirasi perekat ibu pertiwi</t>
  </si>
  <si>
    <t>Samin, dkk</t>
  </si>
  <si>
    <t>978-623-7678-08-3</t>
  </si>
  <si>
    <t>Pembelajaran vertebrata berbasis multiple intelligence</t>
  </si>
  <si>
    <t>Uswatun Sholihah, H. Saefudin, Didik Priyandoko</t>
  </si>
  <si>
    <t>978-623-7678-09-0</t>
  </si>
  <si>
    <t>Ajaran tasawuf Fariduddin Attar</t>
  </si>
  <si>
    <t>Supriyanto</t>
  </si>
  <si>
    <t>978-623-7678-03-8</t>
  </si>
  <si>
    <t>Analisis kebijakan pendidikan Islam anak usia dini</t>
  </si>
  <si>
    <t>Abda Billah Faza Muhammadkan Bastian, dkk</t>
  </si>
  <si>
    <t>978-623-7678-07-6</t>
  </si>
  <si>
    <t>Strategi pembelajaran berbasis multiple intelligences</t>
  </si>
  <si>
    <t>Risdianto Hermawan, dkk</t>
  </si>
  <si>
    <t>978-623-7678-06-9</t>
  </si>
  <si>
    <t>Aku gembira karena berbeda</t>
  </si>
  <si>
    <t>Mayori, dkk</t>
  </si>
  <si>
    <t>978-623-7678-05-2</t>
  </si>
  <si>
    <t>Kuliah kerja literasi : kisah inspiratif di sekitar kita</t>
  </si>
  <si>
    <t>Erni Damayanti, dkk</t>
  </si>
  <si>
    <t>978-623-7678-04-5</t>
  </si>
  <si>
    <t>Pemberdayaan masyarakat dalam pengelolaan PAUD</t>
  </si>
  <si>
    <t>Mahasiswa Kelas 5 PIAUD B</t>
  </si>
  <si>
    <t>978-623-7678-02-1</t>
  </si>
  <si>
    <t>Metode pengembangan daya pikir dan kreativitas anak usia dini</t>
  </si>
  <si>
    <t>Mahasiswa Kelas 5 PIAUD A</t>
  </si>
  <si>
    <t>978-623-7678-01-4</t>
  </si>
  <si>
    <t>Pelatihan membaca Al-Qur’an secara progresif dengan metode yanbu’a di Kelurahan Pabuwaran Kecamatan Purwokerto Utara</t>
  </si>
  <si>
    <t>A.M. Ismatulloh, Laily Liddini</t>
  </si>
  <si>
    <t>978-623-7678-00-7</t>
  </si>
  <si>
    <t>0813-2860-4381</t>
  </si>
  <si>
    <t>Artisan dari kejawar</t>
  </si>
  <si>
    <t>Nasirun</t>
  </si>
  <si>
    <t>978-623-91755-7-3</t>
  </si>
  <si>
    <t>Budaya religius sekolah dan transformasi keberagamaan siswa SMA</t>
  </si>
  <si>
    <t>Kholid Mawardi, Novi Mulyani</t>
  </si>
  <si>
    <t>978-623-91755-9-7</t>
  </si>
  <si>
    <t>Format ideal deradikalisasi agama di perguruan tinggi keagamaan Islam negeri</t>
  </si>
  <si>
    <t>Supriyanto, Agus Sunaryo, Mawi Khusni Albar</t>
  </si>
  <si>
    <t>978-623-91755-8-0</t>
  </si>
  <si>
    <t>Asyiknya belajar &amp; mengajar matematika untuk anak</t>
  </si>
  <si>
    <t>Abdaul Unsha Amanah, dkk</t>
  </si>
  <si>
    <t>978-623-91755-5-9</t>
  </si>
  <si>
    <t>Konsep syari’ah dan fiqh dalam kajian epistemologi hukum Islam</t>
  </si>
  <si>
    <t>978-623-91755-6-6</t>
  </si>
  <si>
    <t>Sistem pembelajaran pendidikan agama Islam berbasis pesantren</t>
  </si>
  <si>
    <t>Sudadi</t>
  </si>
  <si>
    <t>978-623-91755-3-5</t>
  </si>
  <si>
    <t>Panduan pelaksanaan praktik kerja lapangan Fakultas Bahasa dan Seni Universitas Negeri Semarang</t>
  </si>
  <si>
    <t>Fatma Hetami, dkk</t>
  </si>
  <si>
    <t>978-623-91755-4-2</t>
  </si>
  <si>
    <t>Studi keruangan &amp; sistem sosial</t>
  </si>
  <si>
    <t>Ine Kusuma Aryani &amp; Tim Mahasiswa S2 PD UM Purwokerto</t>
  </si>
  <si>
    <t>978-623-91755-2-8</t>
  </si>
  <si>
    <t>Semiotika Roland Barthes</t>
  </si>
  <si>
    <t>978-623-91755-0-4</t>
  </si>
  <si>
    <t>Tradisi nahwu dalam tinjauan linguistik pengantar sintaksis Arab</t>
  </si>
  <si>
    <t>978-623-91425-9-9</t>
  </si>
  <si>
    <t>Senandung cinta Ifa</t>
  </si>
  <si>
    <t>978-623-91425-8-2</t>
  </si>
  <si>
    <t>Al-Qur’an dan fenomena tindak tutur lokusi, ilokusi, perlokusi</t>
  </si>
  <si>
    <t>Zeim Elmubarok, Siti Faroah</t>
  </si>
  <si>
    <t>978-623-91425-7-5</t>
  </si>
  <si>
    <t>Kisah sedih buku tak bersampul : 20+ dongeng motivasi &amp; karakter anak</t>
  </si>
  <si>
    <t>Heru Kurniawan</t>
  </si>
  <si>
    <t>978-623-91755-1-1</t>
  </si>
  <si>
    <t>Ilmu shorof unggulan fi bayani tashrif wal i’rob</t>
  </si>
  <si>
    <t>Hamim Al-Mahbub</t>
  </si>
  <si>
    <t>978-623-91425-6-8</t>
  </si>
  <si>
    <t>Pulau buku di negeri api</t>
  </si>
  <si>
    <t>Dewi Sukmawati, dkk</t>
  </si>
  <si>
    <t>978-623-91425-5-1</t>
  </si>
  <si>
    <t>Ada rindu di langit</t>
  </si>
  <si>
    <t>Faiza Aulia</t>
  </si>
  <si>
    <t>978-623-91425-3-7</t>
  </si>
  <si>
    <t>Ada cinta di bumi</t>
  </si>
  <si>
    <t>Fadhil Alifiyan</t>
  </si>
  <si>
    <t>978-623-91425-4-4</t>
  </si>
  <si>
    <t>Kumpulan cara analisis data : beserta contoh judul dan hipotesis penelitian</t>
  </si>
  <si>
    <t>978-623-91425-2-0</t>
  </si>
  <si>
    <t>0896-4491-2144</t>
  </si>
  <si>
    <t>Desain kualitas pendidikan anak dalam keluarga</t>
  </si>
  <si>
    <t>Annisa Alfiah Devianti, dkk</t>
  </si>
  <si>
    <t>978-623-91425-1-3</t>
  </si>
  <si>
    <t>Pendidikan karakter berbasis komunikasi edukatif religius (KER) di madrasah ibtidaiyah</t>
  </si>
  <si>
    <t>Abu Dharin</t>
  </si>
  <si>
    <t>978-623-91425-0-6</t>
  </si>
  <si>
    <t>Cinta pandangan pertama</t>
  </si>
  <si>
    <t>Rachmawati Ash</t>
  </si>
  <si>
    <t>978-623-90846-9-1</t>
  </si>
  <si>
    <t>Ilmu budaya dari strukturalisme budaya sampai orientalisme kontemporer</t>
  </si>
  <si>
    <t>Anastasia Pudjutriherwanti, dkk</t>
  </si>
  <si>
    <t>978-623-90846-8-4</t>
  </si>
  <si>
    <t>Interupsi! : mahasiswa menyoal Indonesia</t>
  </si>
  <si>
    <t>Annisa Wiyugo, dkk</t>
  </si>
  <si>
    <t>978-623-90846-7-7</t>
  </si>
  <si>
    <t>Penelitian tindakan kelas : petunjuk praktis untuk guru disertai contoh proposal</t>
  </si>
  <si>
    <t>Ine Kusuma Aryani, Beny Wijarnako</t>
  </si>
  <si>
    <t>978-623-90846-6-0</t>
  </si>
  <si>
    <t>Sistem pernapasan dan peredaran darah manusia</t>
  </si>
  <si>
    <t>Arifin Nur Hayadi</t>
  </si>
  <si>
    <t>978-623-90846-5-3</t>
  </si>
  <si>
    <t>Indonesia dalam sejarah dari masa pra-aksara hingga reformasi</t>
  </si>
  <si>
    <t>Tri Anitawati</t>
  </si>
  <si>
    <t>978-623-90846-4-6</t>
  </si>
  <si>
    <t>Literasi anak usia dini : meningkatkan dan mengembangkan budaya membaca, keterampilan menulis, dan kemampuan berpikir anak-anak</t>
  </si>
  <si>
    <t>Marwany, Heru Kurniawan</t>
  </si>
  <si>
    <t>978-623-90846-3-9</t>
  </si>
  <si>
    <t>Kumpulan media pembelajaran SD/MI</t>
  </si>
  <si>
    <t>Annisa Salma, dkk</t>
  </si>
  <si>
    <t>978-623-90846-2-2</t>
  </si>
  <si>
    <t>Belajar dan bermain bersama Malika (media belajar inovatif, kreatif dan asyik) untuk SD/MI</t>
  </si>
  <si>
    <t>Afifi Rahma Khaerani, dkk</t>
  </si>
  <si>
    <t>978-623-90846-1-5</t>
  </si>
  <si>
    <t>Edelweis : menulis cerita pendek dan kumpulan cerita pendek</t>
  </si>
  <si>
    <t>Trimahaningsih, Trims Creative</t>
  </si>
  <si>
    <t>978-623-90846-0-8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</si>
</sst>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/>
    <font>
      <sz val="10.0"/>
      <color theme="1"/>
      <name val="Arial"/>
      <scheme val="minor"/>
    </font>
    <font>
      <sz val="10.0"/>
      <color rgb="FF3A3A3A"/>
      <name val="Arial"/>
      <scheme val="minor"/>
    </font>
    <font>
      <sz val="10.0"/>
      <color rgb="FF071437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1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4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2" fontId="0" numFmtId="0" xfId="0" applyAlignment="1" applyBorder="1" applyFill="1" applyFont="1">
      <alignment readingOrder="0" shrinkToFit="0" vertical="center" wrapText="1"/>
    </xf>
    <xf borderId="5" fillId="2" fontId="4" numFmtId="0" xfId="0" applyAlignment="1" applyBorder="1" applyFont="1">
      <alignment readingOrder="0" shrinkToFit="0" vertical="center" wrapText="1"/>
    </xf>
    <xf borderId="5" fillId="2" fontId="5" numFmtId="0" xfId="0" applyAlignment="1" applyBorder="1" applyFont="1">
      <alignment readingOrder="0" shrinkToFit="0" vertical="center" wrapText="1"/>
    </xf>
    <xf quotePrefix="1" borderId="5" fillId="2" fontId="5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164" xfId="0" applyAlignment="1" applyBorder="1" applyFont="1" applyNumberForma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3" fontId="0" numFmtId="0" xfId="0" applyAlignment="1" applyBorder="1" applyFill="1" applyFont="1">
      <alignment readingOrder="0" shrinkToFit="0" vertical="center" wrapText="1"/>
    </xf>
    <xf borderId="5" fillId="0" fontId="3" numFmtId="0" xfId="0" applyAlignment="1" applyBorder="1" applyFont="1">
      <alignment shrinkToFit="0" wrapText="1"/>
    </xf>
    <xf borderId="5" fillId="2" fontId="0" numFmtId="0" xfId="0" applyAlignment="1" applyBorder="1" applyFont="1">
      <alignment readingOrder="0" shrinkToFit="0" wrapText="1"/>
    </xf>
    <xf borderId="5" fillId="2" fontId="4" numFmtId="0" xfId="0" applyAlignment="1" applyBorder="1" applyFont="1">
      <alignment readingOrder="0" shrinkToFit="0" wrapText="1"/>
    </xf>
    <xf borderId="5" fillId="2" fontId="5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5" fillId="0" fontId="3" numFmtId="164" xfId="0" applyAlignment="1" applyBorder="1" applyFont="1" applyNumberFormat="1">
      <alignment shrinkToFit="0" wrapText="1"/>
    </xf>
    <xf borderId="0" fillId="0" fontId="3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0"/>
    <col customWidth="1" min="2" max="2" width="55.0"/>
    <col customWidth="1" min="3" max="3" width="33.63"/>
    <col customWidth="1" min="4" max="5" width="16.25"/>
    <col customWidth="1" min="6" max="6" width="7.13"/>
    <col customWidth="1" min="7" max="8" width="11.25"/>
    <col customWidth="1" min="9" max="9" width="12.75"/>
    <col customWidth="1" min="11" max="11" width="6.0"/>
    <col customWidth="1" min="12" max="12" width="6.88"/>
    <col customWidth="1" min="13" max="13" width="9.5"/>
    <col customWidth="1" min="14" max="14" width="9.25"/>
    <col customWidth="1" min="15" max="15" width="10.75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2" t="s">
        <v>11</v>
      </c>
      <c r="N1" s="3"/>
      <c r="O1" s="1" t="s">
        <v>12</v>
      </c>
      <c r="P1" s="4" t="s">
        <v>13</v>
      </c>
      <c r="Q1" s="5" t="s">
        <v>14</v>
      </c>
      <c r="R1" s="6"/>
      <c r="S1" s="6"/>
      <c r="T1" s="6"/>
      <c r="U1" s="6"/>
      <c r="V1" s="6"/>
      <c r="W1" s="6"/>
      <c r="X1" s="6"/>
      <c r="Y1" s="6"/>
    </row>
    <row r="2" ht="12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15</v>
      </c>
      <c r="L2" s="8" t="s">
        <v>16</v>
      </c>
      <c r="M2" s="8" t="s">
        <v>16</v>
      </c>
      <c r="N2" s="8" t="s">
        <v>15</v>
      </c>
      <c r="O2" s="7"/>
      <c r="P2" s="7"/>
      <c r="S2" s="6"/>
      <c r="T2" s="6"/>
      <c r="U2" s="6"/>
      <c r="V2" s="6"/>
      <c r="W2" s="6"/>
      <c r="X2" s="6"/>
      <c r="Y2" s="6"/>
    </row>
    <row r="3" ht="40.5" customHeight="1">
      <c r="A3" s="9">
        <f t="array" ref="A3:A429">SEQUENCE(counta(B:B)-1,1)</f>
        <v>1</v>
      </c>
      <c r="B3" s="10" t="s">
        <v>17</v>
      </c>
      <c r="C3" s="11" t="s">
        <v>18</v>
      </c>
      <c r="D3" s="12" t="s">
        <v>19</v>
      </c>
      <c r="E3" s="13" t="s">
        <v>20</v>
      </c>
      <c r="F3" s="12">
        <v>2026.0</v>
      </c>
      <c r="G3" s="14" t="s">
        <v>21</v>
      </c>
      <c r="H3" s="9"/>
      <c r="I3" s="11" t="s">
        <v>22</v>
      </c>
      <c r="J3" s="9">
        <v>77.0</v>
      </c>
      <c r="K3" s="9" t="s">
        <v>23</v>
      </c>
      <c r="L3" s="9" t="s">
        <v>24</v>
      </c>
      <c r="M3" s="11" t="s">
        <v>25</v>
      </c>
      <c r="N3" s="11" t="s">
        <v>26</v>
      </c>
      <c r="O3" s="9" t="s">
        <v>27</v>
      </c>
      <c r="P3" s="15">
        <f t="shared" ref="P3:P165" si="1">IFS(I3="A5",((J3*150)+5000),I3="B5",((J3*200)+8000),I3="UNESCO",((J3*180)+8000),TRUE,0)</f>
        <v>16550</v>
      </c>
      <c r="Q3" s="16">
        <f t="shared" ref="Q3:Q429" si="2">P3*2</f>
        <v>33100</v>
      </c>
      <c r="R3" s="6"/>
      <c r="S3" s="6"/>
      <c r="T3" s="6"/>
      <c r="U3" s="6"/>
      <c r="V3" s="6"/>
      <c r="W3" s="6"/>
      <c r="X3" s="6"/>
      <c r="Y3" s="6"/>
    </row>
    <row r="4" ht="42.0" customHeight="1">
      <c r="A4" s="9">
        <v>2.0</v>
      </c>
      <c r="B4" s="10" t="s">
        <v>28</v>
      </c>
      <c r="C4" s="11" t="s">
        <v>29</v>
      </c>
      <c r="D4" s="12" t="s">
        <v>30</v>
      </c>
      <c r="E4" s="12"/>
      <c r="F4" s="12">
        <v>2025.0</v>
      </c>
      <c r="G4" s="14" t="s">
        <v>21</v>
      </c>
      <c r="H4" s="9"/>
      <c r="I4" s="11" t="s">
        <v>22</v>
      </c>
      <c r="J4" s="9">
        <v>119.0</v>
      </c>
      <c r="K4" s="9" t="s">
        <v>23</v>
      </c>
      <c r="L4" s="9" t="s">
        <v>24</v>
      </c>
      <c r="M4" s="11" t="s">
        <v>25</v>
      </c>
      <c r="N4" s="11" t="s">
        <v>26</v>
      </c>
      <c r="O4" s="9" t="s">
        <v>27</v>
      </c>
      <c r="P4" s="15">
        <f t="shared" si="1"/>
        <v>22850</v>
      </c>
      <c r="Q4" s="16">
        <f t="shared" si="2"/>
        <v>45700</v>
      </c>
      <c r="R4" s="6"/>
      <c r="S4" s="6"/>
      <c r="T4" s="6"/>
      <c r="U4" s="6"/>
      <c r="V4" s="6"/>
      <c r="W4" s="6"/>
      <c r="X4" s="6"/>
      <c r="Y4" s="6"/>
    </row>
    <row r="5" ht="33.0" customHeight="1">
      <c r="A5" s="17">
        <v>3.0</v>
      </c>
      <c r="B5" s="10" t="s">
        <v>31</v>
      </c>
      <c r="C5" s="11" t="s">
        <v>32</v>
      </c>
      <c r="D5" s="12" t="s">
        <v>33</v>
      </c>
      <c r="E5" s="13" t="s">
        <v>34</v>
      </c>
      <c r="F5" s="12">
        <v>2026.0</v>
      </c>
      <c r="G5" s="14" t="s">
        <v>21</v>
      </c>
      <c r="H5" s="9"/>
      <c r="I5" s="11" t="s">
        <v>22</v>
      </c>
      <c r="J5" s="9">
        <v>168.0</v>
      </c>
      <c r="K5" s="9" t="s">
        <v>23</v>
      </c>
      <c r="L5" s="9" t="s">
        <v>24</v>
      </c>
      <c r="M5" s="11" t="s">
        <v>25</v>
      </c>
      <c r="N5" s="11" t="s">
        <v>26</v>
      </c>
      <c r="O5" s="9" t="s">
        <v>27</v>
      </c>
      <c r="P5" s="15">
        <f t="shared" si="1"/>
        <v>30200</v>
      </c>
      <c r="Q5" s="16">
        <f t="shared" si="2"/>
        <v>60400</v>
      </c>
      <c r="R5" s="6"/>
      <c r="S5" s="6"/>
      <c r="T5" s="6"/>
      <c r="U5" s="6"/>
      <c r="V5" s="6"/>
      <c r="W5" s="6"/>
      <c r="X5" s="6"/>
      <c r="Y5" s="6"/>
    </row>
    <row r="6" ht="31.5" customHeight="1">
      <c r="A6" s="17">
        <v>4.0</v>
      </c>
      <c r="B6" s="10" t="s">
        <v>35</v>
      </c>
      <c r="C6" s="11" t="s">
        <v>36</v>
      </c>
      <c r="D6" s="12" t="s">
        <v>37</v>
      </c>
      <c r="E6" s="13" t="s">
        <v>38</v>
      </c>
      <c r="F6" s="12">
        <v>2026.0</v>
      </c>
      <c r="G6" s="14" t="s">
        <v>21</v>
      </c>
      <c r="H6" s="9"/>
      <c r="I6" s="11" t="s">
        <v>22</v>
      </c>
      <c r="J6" s="9">
        <v>76.0</v>
      </c>
      <c r="K6" s="9" t="s">
        <v>23</v>
      </c>
      <c r="L6" s="9" t="s">
        <v>24</v>
      </c>
      <c r="M6" s="11" t="s">
        <v>25</v>
      </c>
      <c r="N6" s="11" t="s">
        <v>26</v>
      </c>
      <c r="O6" s="9" t="s">
        <v>27</v>
      </c>
      <c r="P6" s="15">
        <f t="shared" si="1"/>
        <v>16400</v>
      </c>
      <c r="Q6" s="16">
        <f t="shared" si="2"/>
        <v>32800</v>
      </c>
      <c r="R6" s="6"/>
      <c r="S6" s="6"/>
      <c r="T6" s="6"/>
      <c r="U6" s="6"/>
      <c r="V6" s="6"/>
      <c r="W6" s="6"/>
      <c r="X6" s="6"/>
      <c r="Y6" s="6"/>
    </row>
    <row r="7" ht="31.5" customHeight="1">
      <c r="A7" s="17">
        <v>5.0</v>
      </c>
      <c r="B7" s="10" t="s">
        <v>39</v>
      </c>
      <c r="C7" s="11" t="s">
        <v>40</v>
      </c>
      <c r="D7" s="12" t="s">
        <v>41</v>
      </c>
      <c r="E7" s="12"/>
      <c r="F7" s="12">
        <v>2026.0</v>
      </c>
      <c r="G7" s="14" t="s">
        <v>21</v>
      </c>
      <c r="H7" s="9"/>
      <c r="I7" s="11" t="s">
        <v>22</v>
      </c>
      <c r="J7" s="9">
        <v>139.0</v>
      </c>
      <c r="K7" s="9" t="s">
        <v>23</v>
      </c>
      <c r="L7" s="9" t="s">
        <v>24</v>
      </c>
      <c r="M7" s="11" t="s">
        <v>25</v>
      </c>
      <c r="N7" s="11" t="s">
        <v>26</v>
      </c>
      <c r="O7" s="9" t="s">
        <v>27</v>
      </c>
      <c r="P7" s="15">
        <f t="shared" si="1"/>
        <v>25850</v>
      </c>
      <c r="Q7" s="16">
        <f t="shared" si="2"/>
        <v>51700</v>
      </c>
      <c r="R7" s="6"/>
      <c r="S7" s="6"/>
      <c r="T7" s="6"/>
      <c r="U7" s="6"/>
      <c r="V7" s="6"/>
      <c r="W7" s="6"/>
      <c r="X7" s="6"/>
      <c r="Y7" s="6"/>
    </row>
    <row r="8" ht="31.5" customHeight="1">
      <c r="A8" s="17">
        <v>6.0</v>
      </c>
      <c r="B8" s="10" t="s">
        <v>42</v>
      </c>
      <c r="C8" s="11" t="s">
        <v>43</v>
      </c>
      <c r="D8" s="12" t="s">
        <v>44</v>
      </c>
      <c r="E8" s="12"/>
      <c r="F8" s="12">
        <v>2025.0</v>
      </c>
      <c r="G8" s="14" t="s">
        <v>21</v>
      </c>
      <c r="H8" s="9"/>
      <c r="I8" s="11" t="s">
        <v>22</v>
      </c>
      <c r="J8" s="9">
        <v>129.0</v>
      </c>
      <c r="K8" s="9" t="s">
        <v>23</v>
      </c>
      <c r="L8" s="9" t="s">
        <v>24</v>
      </c>
      <c r="M8" s="11" t="s">
        <v>25</v>
      </c>
      <c r="N8" s="11" t="s">
        <v>26</v>
      </c>
      <c r="O8" s="9" t="s">
        <v>27</v>
      </c>
      <c r="P8" s="15">
        <f t="shared" si="1"/>
        <v>24350</v>
      </c>
      <c r="Q8" s="16">
        <f t="shared" si="2"/>
        <v>48700</v>
      </c>
      <c r="R8" s="6"/>
      <c r="S8" s="6"/>
      <c r="T8" s="6"/>
      <c r="U8" s="6"/>
      <c r="V8" s="6"/>
      <c r="W8" s="6"/>
      <c r="X8" s="6"/>
      <c r="Y8" s="6"/>
    </row>
    <row r="9" ht="31.5" customHeight="1">
      <c r="A9" s="17">
        <v>7.0</v>
      </c>
      <c r="B9" s="10" t="s">
        <v>45</v>
      </c>
      <c r="C9" s="11" t="s">
        <v>46</v>
      </c>
      <c r="D9" s="12" t="s">
        <v>47</v>
      </c>
      <c r="E9" s="13" t="s">
        <v>48</v>
      </c>
      <c r="F9" s="12">
        <v>2025.0</v>
      </c>
      <c r="G9" s="14" t="s">
        <v>21</v>
      </c>
      <c r="H9" s="9"/>
      <c r="I9" s="11" t="s">
        <v>22</v>
      </c>
      <c r="J9" s="9">
        <v>320.0</v>
      </c>
      <c r="K9" s="9" t="s">
        <v>23</v>
      </c>
      <c r="L9" s="9" t="s">
        <v>24</v>
      </c>
      <c r="M9" s="11" t="s">
        <v>25</v>
      </c>
      <c r="N9" s="11" t="s">
        <v>26</v>
      </c>
      <c r="O9" s="9" t="s">
        <v>27</v>
      </c>
      <c r="P9" s="15">
        <f t="shared" si="1"/>
        <v>53000</v>
      </c>
      <c r="Q9" s="16">
        <f t="shared" si="2"/>
        <v>106000</v>
      </c>
      <c r="R9" s="6"/>
      <c r="S9" s="6"/>
      <c r="T9" s="6"/>
      <c r="U9" s="6"/>
      <c r="V9" s="6"/>
      <c r="W9" s="6"/>
      <c r="X9" s="6"/>
      <c r="Y9" s="6"/>
    </row>
    <row r="10" ht="31.5" customHeight="1">
      <c r="A10" s="17">
        <v>8.0</v>
      </c>
      <c r="B10" s="10" t="s">
        <v>49</v>
      </c>
      <c r="C10" s="11" t="s">
        <v>50</v>
      </c>
      <c r="D10" s="12" t="s">
        <v>51</v>
      </c>
      <c r="E10" s="12"/>
      <c r="F10" s="12">
        <v>2025.0</v>
      </c>
      <c r="G10" s="14" t="s">
        <v>21</v>
      </c>
      <c r="H10" s="9"/>
      <c r="I10" s="11" t="s">
        <v>22</v>
      </c>
      <c r="J10" s="9">
        <v>125.0</v>
      </c>
      <c r="K10" s="9" t="s">
        <v>23</v>
      </c>
      <c r="L10" s="9" t="s">
        <v>24</v>
      </c>
      <c r="M10" s="11" t="s">
        <v>25</v>
      </c>
      <c r="N10" s="11" t="s">
        <v>26</v>
      </c>
      <c r="O10" s="9" t="s">
        <v>27</v>
      </c>
      <c r="P10" s="15">
        <f t="shared" si="1"/>
        <v>23750</v>
      </c>
      <c r="Q10" s="16">
        <f t="shared" si="2"/>
        <v>47500</v>
      </c>
      <c r="R10" s="6"/>
      <c r="S10" s="6"/>
      <c r="T10" s="6"/>
      <c r="U10" s="6"/>
      <c r="V10" s="6"/>
      <c r="W10" s="6"/>
    </row>
    <row r="11" ht="31.5" customHeight="1">
      <c r="A11" s="17">
        <v>9.0</v>
      </c>
      <c r="B11" s="10" t="s">
        <v>52</v>
      </c>
      <c r="C11" s="11" t="s">
        <v>53</v>
      </c>
      <c r="D11" s="12" t="s">
        <v>54</v>
      </c>
      <c r="E11" s="13" t="s">
        <v>55</v>
      </c>
      <c r="F11" s="12">
        <v>2025.0</v>
      </c>
      <c r="G11" s="14" t="s">
        <v>21</v>
      </c>
      <c r="H11" s="9"/>
      <c r="I11" s="11" t="s">
        <v>22</v>
      </c>
      <c r="J11" s="9">
        <v>162.0</v>
      </c>
      <c r="K11" s="9" t="s">
        <v>23</v>
      </c>
      <c r="L11" s="9" t="s">
        <v>24</v>
      </c>
      <c r="M11" s="11" t="s">
        <v>25</v>
      </c>
      <c r="N11" s="11" t="s">
        <v>26</v>
      </c>
      <c r="O11" s="9" t="s">
        <v>27</v>
      </c>
      <c r="P11" s="15">
        <f t="shared" si="1"/>
        <v>29300</v>
      </c>
      <c r="Q11" s="16">
        <f t="shared" si="2"/>
        <v>58600</v>
      </c>
      <c r="R11" s="6"/>
      <c r="S11" s="6"/>
      <c r="T11" s="6"/>
      <c r="U11" s="6"/>
      <c r="V11" s="6"/>
      <c r="W11" s="6"/>
    </row>
    <row r="12" ht="31.5" customHeight="1">
      <c r="A12" s="17">
        <v>10.0</v>
      </c>
      <c r="B12" s="10" t="s">
        <v>56</v>
      </c>
      <c r="C12" s="11" t="s">
        <v>57</v>
      </c>
      <c r="D12" s="12" t="s">
        <v>58</v>
      </c>
      <c r="E12" s="13" t="s">
        <v>59</v>
      </c>
      <c r="F12" s="12">
        <v>2025.0</v>
      </c>
      <c r="G12" s="14" t="s">
        <v>21</v>
      </c>
      <c r="H12" s="9"/>
      <c r="I12" s="11" t="s">
        <v>22</v>
      </c>
      <c r="J12" s="9">
        <v>197.0</v>
      </c>
      <c r="K12" s="9" t="s">
        <v>23</v>
      </c>
      <c r="L12" s="9" t="s">
        <v>24</v>
      </c>
      <c r="M12" s="11" t="s">
        <v>25</v>
      </c>
      <c r="N12" s="11" t="s">
        <v>26</v>
      </c>
      <c r="O12" s="9" t="s">
        <v>27</v>
      </c>
      <c r="P12" s="15">
        <f t="shared" si="1"/>
        <v>34550</v>
      </c>
      <c r="Q12" s="16">
        <f t="shared" si="2"/>
        <v>69100</v>
      </c>
      <c r="R12" s="6"/>
      <c r="S12" s="6"/>
      <c r="T12" s="6"/>
      <c r="U12" s="6"/>
      <c r="V12" s="6"/>
      <c r="W12" s="6"/>
    </row>
    <row r="13" ht="31.5" customHeight="1">
      <c r="A13" s="17">
        <v>11.0</v>
      </c>
      <c r="B13" s="10" t="s">
        <v>60</v>
      </c>
      <c r="C13" s="11" t="s">
        <v>61</v>
      </c>
      <c r="D13" s="12" t="s">
        <v>62</v>
      </c>
      <c r="E13" s="12"/>
      <c r="F13" s="12">
        <v>2025.0</v>
      </c>
      <c r="G13" s="14" t="s">
        <v>21</v>
      </c>
      <c r="H13" s="9"/>
      <c r="I13" s="11" t="s">
        <v>22</v>
      </c>
      <c r="J13" s="9">
        <v>78.0</v>
      </c>
      <c r="K13" s="9" t="s">
        <v>23</v>
      </c>
      <c r="L13" s="9" t="s">
        <v>24</v>
      </c>
      <c r="M13" s="11" t="s">
        <v>25</v>
      </c>
      <c r="N13" s="11" t="s">
        <v>26</v>
      </c>
      <c r="O13" s="9" t="s">
        <v>27</v>
      </c>
      <c r="P13" s="15">
        <f t="shared" si="1"/>
        <v>16700</v>
      </c>
      <c r="Q13" s="16">
        <f t="shared" si="2"/>
        <v>33400</v>
      </c>
      <c r="R13" s="6"/>
      <c r="S13" s="6"/>
      <c r="T13" s="6"/>
      <c r="U13" s="6"/>
      <c r="V13" s="6"/>
      <c r="W13" s="6"/>
    </row>
    <row r="14" ht="31.5" customHeight="1">
      <c r="A14" s="17">
        <v>12.0</v>
      </c>
      <c r="B14" s="10" t="s">
        <v>63</v>
      </c>
      <c r="C14" s="11" t="s">
        <v>64</v>
      </c>
      <c r="D14" s="12" t="s">
        <v>65</v>
      </c>
      <c r="E14" s="13" t="s">
        <v>66</v>
      </c>
      <c r="F14" s="12">
        <v>2025.0</v>
      </c>
      <c r="G14" s="14" t="s">
        <v>21</v>
      </c>
      <c r="H14" s="9"/>
      <c r="I14" s="11" t="s">
        <v>22</v>
      </c>
      <c r="J14" s="9">
        <v>163.0</v>
      </c>
      <c r="K14" s="9" t="s">
        <v>23</v>
      </c>
      <c r="L14" s="9" t="s">
        <v>24</v>
      </c>
      <c r="M14" s="11" t="s">
        <v>25</v>
      </c>
      <c r="N14" s="11" t="s">
        <v>26</v>
      </c>
      <c r="O14" s="9" t="s">
        <v>27</v>
      </c>
      <c r="P14" s="15">
        <f t="shared" si="1"/>
        <v>29450</v>
      </c>
      <c r="Q14" s="16">
        <f t="shared" si="2"/>
        <v>58900</v>
      </c>
      <c r="R14" s="6"/>
      <c r="S14" s="6"/>
      <c r="T14" s="6"/>
      <c r="U14" s="6"/>
      <c r="V14" s="6"/>
      <c r="W14" s="6"/>
      <c r="X14" s="6"/>
      <c r="Y14" s="6"/>
    </row>
    <row r="15" ht="31.5" customHeight="1">
      <c r="A15" s="17">
        <v>13.0</v>
      </c>
      <c r="B15" s="10" t="s">
        <v>67</v>
      </c>
      <c r="C15" s="11" t="s">
        <v>68</v>
      </c>
      <c r="D15" s="12" t="s">
        <v>69</v>
      </c>
      <c r="E15" s="13" t="s">
        <v>70</v>
      </c>
      <c r="F15" s="12">
        <v>2025.0</v>
      </c>
      <c r="G15" s="14" t="s">
        <v>21</v>
      </c>
      <c r="H15" s="9"/>
      <c r="I15" s="11" t="s">
        <v>22</v>
      </c>
      <c r="J15" s="9">
        <v>91.0</v>
      </c>
      <c r="K15" s="9" t="s">
        <v>23</v>
      </c>
      <c r="L15" s="9" t="s">
        <v>24</v>
      </c>
      <c r="M15" s="11" t="s">
        <v>25</v>
      </c>
      <c r="N15" s="11" t="s">
        <v>26</v>
      </c>
      <c r="O15" s="9" t="s">
        <v>27</v>
      </c>
      <c r="P15" s="15">
        <f t="shared" si="1"/>
        <v>18650</v>
      </c>
      <c r="Q15" s="16">
        <f t="shared" si="2"/>
        <v>37300</v>
      </c>
      <c r="R15" s="6"/>
      <c r="S15" s="6"/>
      <c r="T15" s="6"/>
      <c r="U15" s="6"/>
      <c r="V15" s="6"/>
      <c r="W15" s="6"/>
      <c r="X15" s="6"/>
      <c r="Y15" s="6"/>
    </row>
    <row r="16" ht="31.5" customHeight="1">
      <c r="A16" s="17">
        <v>14.0</v>
      </c>
      <c r="B16" s="10" t="s">
        <v>71</v>
      </c>
      <c r="C16" s="11" t="s">
        <v>72</v>
      </c>
      <c r="D16" s="12" t="s">
        <v>73</v>
      </c>
      <c r="E16" s="13" t="s">
        <v>70</v>
      </c>
      <c r="F16" s="12">
        <v>2025.0</v>
      </c>
      <c r="G16" s="14" t="s">
        <v>21</v>
      </c>
      <c r="H16" s="9"/>
      <c r="I16" s="11" t="s">
        <v>74</v>
      </c>
      <c r="J16" s="9">
        <v>94.0</v>
      </c>
      <c r="K16" s="9" t="s">
        <v>23</v>
      </c>
      <c r="L16" s="9" t="s">
        <v>24</v>
      </c>
      <c r="M16" s="11" t="s">
        <v>25</v>
      </c>
      <c r="N16" s="11" t="s">
        <v>26</v>
      </c>
      <c r="O16" s="9" t="s">
        <v>27</v>
      </c>
      <c r="P16" s="15">
        <f t="shared" si="1"/>
        <v>24920</v>
      </c>
      <c r="Q16" s="16">
        <f t="shared" si="2"/>
        <v>49840</v>
      </c>
      <c r="R16" s="6"/>
      <c r="S16" s="6"/>
      <c r="T16" s="6"/>
      <c r="U16" s="6"/>
      <c r="V16" s="6"/>
      <c r="W16" s="6"/>
      <c r="X16" s="6"/>
      <c r="Y16" s="6"/>
    </row>
    <row r="17" ht="31.5" customHeight="1">
      <c r="A17" s="17">
        <v>15.0</v>
      </c>
      <c r="B17" s="10" t="s">
        <v>75</v>
      </c>
      <c r="C17" s="11" t="s">
        <v>76</v>
      </c>
      <c r="D17" s="12" t="s">
        <v>77</v>
      </c>
      <c r="E17" s="12"/>
      <c r="F17" s="12">
        <v>2025.0</v>
      </c>
      <c r="G17" s="14" t="s">
        <v>21</v>
      </c>
      <c r="H17" s="9"/>
      <c r="I17" s="11" t="s">
        <v>22</v>
      </c>
      <c r="J17" s="9">
        <v>212.0</v>
      </c>
      <c r="K17" s="9" t="s">
        <v>23</v>
      </c>
      <c r="L17" s="9" t="s">
        <v>24</v>
      </c>
      <c r="M17" s="11" t="s">
        <v>25</v>
      </c>
      <c r="N17" s="11" t="s">
        <v>26</v>
      </c>
      <c r="O17" s="9" t="s">
        <v>27</v>
      </c>
      <c r="P17" s="15">
        <f t="shared" si="1"/>
        <v>36800</v>
      </c>
      <c r="Q17" s="16">
        <f t="shared" si="2"/>
        <v>73600</v>
      </c>
      <c r="R17" s="6"/>
      <c r="S17" s="6"/>
      <c r="T17" s="6"/>
      <c r="U17" s="6"/>
      <c r="V17" s="6"/>
      <c r="W17" s="6"/>
      <c r="X17" s="6"/>
      <c r="Y17" s="6"/>
    </row>
    <row r="18" ht="31.5" customHeight="1">
      <c r="A18" s="17">
        <v>16.0</v>
      </c>
      <c r="B18" s="10" t="s">
        <v>78</v>
      </c>
      <c r="C18" s="11" t="s">
        <v>79</v>
      </c>
      <c r="D18" s="12" t="s">
        <v>80</v>
      </c>
      <c r="E18" s="13" t="s">
        <v>81</v>
      </c>
      <c r="F18" s="12">
        <v>2025.0</v>
      </c>
      <c r="G18" s="14" t="s">
        <v>21</v>
      </c>
      <c r="H18" s="9"/>
      <c r="I18" s="11" t="s">
        <v>74</v>
      </c>
      <c r="J18" s="9">
        <v>222.0</v>
      </c>
      <c r="K18" s="9" t="s">
        <v>23</v>
      </c>
      <c r="L18" s="9" t="s">
        <v>24</v>
      </c>
      <c r="M18" s="11" t="s">
        <v>25</v>
      </c>
      <c r="N18" s="11" t="s">
        <v>26</v>
      </c>
      <c r="O18" s="9" t="s">
        <v>27</v>
      </c>
      <c r="P18" s="15">
        <f t="shared" si="1"/>
        <v>47960</v>
      </c>
      <c r="Q18" s="16">
        <f t="shared" si="2"/>
        <v>95920</v>
      </c>
      <c r="R18" s="6"/>
      <c r="S18" s="6"/>
      <c r="T18" s="6"/>
      <c r="U18" s="6"/>
      <c r="V18" s="6"/>
      <c r="W18" s="6"/>
      <c r="X18" s="6"/>
      <c r="Y18" s="6"/>
    </row>
    <row r="19" ht="31.5" customHeight="1">
      <c r="A19" s="17">
        <v>17.0</v>
      </c>
      <c r="B19" s="10" t="s">
        <v>82</v>
      </c>
      <c r="C19" s="11" t="s">
        <v>83</v>
      </c>
      <c r="D19" s="12" t="s">
        <v>84</v>
      </c>
      <c r="E19" s="13" t="s">
        <v>85</v>
      </c>
      <c r="F19" s="12">
        <v>2025.0</v>
      </c>
      <c r="G19" s="14" t="s">
        <v>21</v>
      </c>
      <c r="H19" s="9"/>
      <c r="I19" s="11" t="s">
        <v>22</v>
      </c>
      <c r="J19" s="9">
        <v>114.0</v>
      </c>
      <c r="K19" s="9" t="s">
        <v>23</v>
      </c>
      <c r="L19" s="9" t="s">
        <v>24</v>
      </c>
      <c r="M19" s="11" t="s">
        <v>25</v>
      </c>
      <c r="N19" s="11" t="s">
        <v>26</v>
      </c>
      <c r="O19" s="9" t="s">
        <v>27</v>
      </c>
      <c r="P19" s="15">
        <f t="shared" si="1"/>
        <v>22100</v>
      </c>
      <c r="Q19" s="16">
        <f t="shared" si="2"/>
        <v>44200</v>
      </c>
      <c r="R19" s="6"/>
      <c r="S19" s="6"/>
      <c r="T19" s="6"/>
      <c r="U19" s="6"/>
      <c r="V19" s="6"/>
      <c r="W19" s="6"/>
      <c r="X19" s="6"/>
      <c r="Y19" s="6"/>
    </row>
    <row r="20" ht="31.5" customHeight="1">
      <c r="A20" s="17">
        <v>18.0</v>
      </c>
      <c r="B20" s="10" t="s">
        <v>86</v>
      </c>
      <c r="C20" s="11" t="s">
        <v>87</v>
      </c>
      <c r="D20" s="12" t="s">
        <v>88</v>
      </c>
      <c r="E20" s="12"/>
      <c r="F20" s="12">
        <v>2025.0</v>
      </c>
      <c r="G20" s="14" t="s">
        <v>21</v>
      </c>
      <c r="H20" s="9"/>
      <c r="I20" s="11" t="s">
        <v>22</v>
      </c>
      <c r="J20" s="9">
        <v>294.0</v>
      </c>
      <c r="K20" s="9" t="s">
        <v>23</v>
      </c>
      <c r="L20" s="9" t="s">
        <v>24</v>
      </c>
      <c r="M20" s="11" t="s">
        <v>25</v>
      </c>
      <c r="N20" s="11" t="s">
        <v>26</v>
      </c>
      <c r="O20" s="9" t="s">
        <v>27</v>
      </c>
      <c r="P20" s="15">
        <f t="shared" si="1"/>
        <v>49100</v>
      </c>
      <c r="Q20" s="16">
        <f t="shared" si="2"/>
        <v>98200</v>
      </c>
      <c r="R20" s="6"/>
      <c r="S20" s="6"/>
      <c r="T20" s="6"/>
      <c r="U20" s="6"/>
      <c r="V20" s="6"/>
      <c r="W20" s="6"/>
      <c r="X20" s="6"/>
      <c r="Y20" s="6"/>
    </row>
    <row r="21" ht="31.5" customHeight="1">
      <c r="A21" s="17">
        <v>19.0</v>
      </c>
      <c r="B21" s="10" t="s">
        <v>89</v>
      </c>
      <c r="C21" s="11" t="s">
        <v>90</v>
      </c>
      <c r="D21" s="12" t="s">
        <v>91</v>
      </c>
      <c r="E21" s="12"/>
      <c r="F21" s="12">
        <v>2025.0</v>
      </c>
      <c r="G21" s="14" t="s">
        <v>21</v>
      </c>
      <c r="H21" s="9"/>
      <c r="I21" s="11" t="s">
        <v>22</v>
      </c>
      <c r="J21" s="9">
        <v>118.0</v>
      </c>
      <c r="K21" s="9" t="s">
        <v>23</v>
      </c>
      <c r="L21" s="9" t="s">
        <v>24</v>
      </c>
      <c r="M21" s="11" t="s">
        <v>25</v>
      </c>
      <c r="N21" s="11" t="s">
        <v>26</v>
      </c>
      <c r="O21" s="9" t="s">
        <v>27</v>
      </c>
      <c r="P21" s="15">
        <f t="shared" si="1"/>
        <v>22700</v>
      </c>
      <c r="Q21" s="16">
        <f t="shared" si="2"/>
        <v>45400</v>
      </c>
      <c r="R21" s="6"/>
      <c r="S21" s="6"/>
      <c r="T21" s="6"/>
      <c r="U21" s="6"/>
      <c r="V21" s="6"/>
      <c r="W21" s="6"/>
      <c r="X21" s="6"/>
      <c r="Y21" s="6"/>
    </row>
    <row r="22" ht="31.5" customHeight="1">
      <c r="A22" s="17">
        <v>20.0</v>
      </c>
      <c r="B22" s="18" t="s">
        <v>92</v>
      </c>
      <c r="C22" s="11" t="s">
        <v>93</v>
      </c>
      <c r="D22" s="12" t="s">
        <v>94</v>
      </c>
      <c r="E22" s="13" t="s">
        <v>95</v>
      </c>
      <c r="F22" s="12">
        <v>2025.0</v>
      </c>
      <c r="G22" s="14" t="s">
        <v>21</v>
      </c>
      <c r="H22" s="9"/>
      <c r="I22" s="11" t="s">
        <v>22</v>
      </c>
      <c r="J22" s="9">
        <v>190.0</v>
      </c>
      <c r="K22" s="9" t="s">
        <v>23</v>
      </c>
      <c r="L22" s="9" t="s">
        <v>24</v>
      </c>
      <c r="M22" s="11" t="s">
        <v>25</v>
      </c>
      <c r="N22" s="11" t="s">
        <v>26</v>
      </c>
      <c r="O22" s="9" t="s">
        <v>27</v>
      </c>
      <c r="P22" s="15">
        <f t="shared" si="1"/>
        <v>33500</v>
      </c>
      <c r="Q22" s="16">
        <f t="shared" si="2"/>
        <v>67000</v>
      </c>
      <c r="R22" s="6"/>
      <c r="S22" s="6"/>
      <c r="T22" s="6"/>
      <c r="U22" s="6"/>
      <c r="V22" s="6"/>
      <c r="W22" s="6"/>
      <c r="X22" s="6"/>
      <c r="Y22" s="6"/>
    </row>
    <row r="23" ht="31.5" customHeight="1">
      <c r="A23" s="17">
        <v>21.0</v>
      </c>
      <c r="B23" s="10" t="s">
        <v>96</v>
      </c>
      <c r="C23" s="11" t="s">
        <v>97</v>
      </c>
      <c r="D23" s="12" t="s">
        <v>98</v>
      </c>
      <c r="E23" s="13" t="s">
        <v>48</v>
      </c>
      <c r="F23" s="12">
        <v>2025.0</v>
      </c>
      <c r="G23" s="14" t="s">
        <v>21</v>
      </c>
      <c r="H23" s="9"/>
      <c r="I23" s="11" t="s">
        <v>22</v>
      </c>
      <c r="J23" s="9">
        <v>293.0</v>
      </c>
      <c r="K23" s="9" t="s">
        <v>23</v>
      </c>
      <c r="L23" s="9" t="s">
        <v>24</v>
      </c>
      <c r="M23" s="11" t="s">
        <v>25</v>
      </c>
      <c r="N23" s="11" t="s">
        <v>26</v>
      </c>
      <c r="O23" s="9" t="s">
        <v>27</v>
      </c>
      <c r="P23" s="15">
        <f t="shared" si="1"/>
        <v>48950</v>
      </c>
      <c r="Q23" s="16">
        <f t="shared" si="2"/>
        <v>97900</v>
      </c>
      <c r="R23" s="6"/>
      <c r="S23" s="6"/>
      <c r="T23" s="6"/>
      <c r="U23" s="6"/>
      <c r="V23" s="6"/>
      <c r="W23" s="6"/>
      <c r="X23" s="6"/>
      <c r="Y23" s="6"/>
    </row>
    <row r="24" ht="31.5" customHeight="1">
      <c r="A24" s="17">
        <v>22.0</v>
      </c>
      <c r="B24" s="10" t="s">
        <v>99</v>
      </c>
      <c r="C24" s="11" t="s">
        <v>100</v>
      </c>
      <c r="D24" s="12" t="s">
        <v>101</v>
      </c>
      <c r="E24" s="13" t="s">
        <v>102</v>
      </c>
      <c r="F24" s="12">
        <v>2025.0</v>
      </c>
      <c r="G24" s="14" t="s">
        <v>21</v>
      </c>
      <c r="H24" s="9"/>
      <c r="I24" s="11" t="s">
        <v>74</v>
      </c>
      <c r="J24" s="9">
        <v>812.0</v>
      </c>
      <c r="K24" s="9" t="s">
        <v>23</v>
      </c>
      <c r="L24" s="9" t="s">
        <v>24</v>
      </c>
      <c r="M24" s="11" t="s">
        <v>25</v>
      </c>
      <c r="N24" s="11" t="s">
        <v>26</v>
      </c>
      <c r="O24" s="9" t="s">
        <v>27</v>
      </c>
      <c r="P24" s="15">
        <f t="shared" si="1"/>
        <v>154160</v>
      </c>
      <c r="Q24" s="16">
        <f t="shared" si="2"/>
        <v>308320</v>
      </c>
      <c r="R24" s="6"/>
      <c r="S24" s="6"/>
      <c r="T24" s="6"/>
      <c r="U24" s="6"/>
      <c r="V24" s="6"/>
      <c r="W24" s="6"/>
      <c r="X24" s="6"/>
      <c r="Y24" s="6"/>
    </row>
    <row r="25" ht="31.5" customHeight="1">
      <c r="A25" s="17">
        <v>23.0</v>
      </c>
      <c r="B25" s="10" t="s">
        <v>103</v>
      </c>
      <c r="C25" s="11" t="s">
        <v>104</v>
      </c>
      <c r="D25" s="12" t="s">
        <v>105</v>
      </c>
      <c r="E25" s="13" t="s">
        <v>102</v>
      </c>
      <c r="F25" s="12">
        <v>2025.0</v>
      </c>
      <c r="G25" s="14" t="s">
        <v>21</v>
      </c>
      <c r="H25" s="9"/>
      <c r="I25" s="11" t="s">
        <v>22</v>
      </c>
      <c r="J25" s="9">
        <v>189.0</v>
      </c>
      <c r="K25" s="9" t="s">
        <v>23</v>
      </c>
      <c r="L25" s="9" t="s">
        <v>24</v>
      </c>
      <c r="M25" s="11" t="s">
        <v>25</v>
      </c>
      <c r="N25" s="11" t="s">
        <v>26</v>
      </c>
      <c r="O25" s="9" t="s">
        <v>27</v>
      </c>
      <c r="P25" s="15">
        <f t="shared" si="1"/>
        <v>33350</v>
      </c>
      <c r="Q25" s="16">
        <f t="shared" si="2"/>
        <v>66700</v>
      </c>
      <c r="R25" s="6"/>
      <c r="S25" s="6"/>
      <c r="T25" s="6"/>
      <c r="U25" s="6"/>
      <c r="V25" s="6"/>
      <c r="W25" s="6"/>
      <c r="X25" s="6"/>
      <c r="Y25" s="6"/>
    </row>
    <row r="26" ht="31.5" customHeight="1">
      <c r="A26" s="17">
        <v>24.0</v>
      </c>
      <c r="B26" s="10" t="s">
        <v>106</v>
      </c>
      <c r="C26" s="11" t="s">
        <v>107</v>
      </c>
      <c r="D26" s="12" t="s">
        <v>108</v>
      </c>
      <c r="E26" s="12"/>
      <c r="F26" s="12">
        <v>2025.0</v>
      </c>
      <c r="G26" s="14" t="s">
        <v>21</v>
      </c>
      <c r="H26" s="9"/>
      <c r="I26" s="11" t="s">
        <v>22</v>
      </c>
      <c r="J26" s="9">
        <v>86.0</v>
      </c>
      <c r="K26" s="9" t="s">
        <v>23</v>
      </c>
      <c r="L26" s="9" t="s">
        <v>24</v>
      </c>
      <c r="M26" s="11" t="s">
        <v>25</v>
      </c>
      <c r="N26" s="11" t="s">
        <v>26</v>
      </c>
      <c r="O26" s="9" t="s">
        <v>27</v>
      </c>
      <c r="P26" s="15">
        <f t="shared" si="1"/>
        <v>17900</v>
      </c>
      <c r="Q26" s="16">
        <f t="shared" si="2"/>
        <v>35800</v>
      </c>
      <c r="R26" s="6"/>
      <c r="S26" s="6"/>
      <c r="T26" s="6"/>
      <c r="U26" s="6"/>
      <c r="V26" s="6"/>
      <c r="W26" s="6"/>
      <c r="X26" s="6"/>
      <c r="Y26" s="6"/>
    </row>
    <row r="27" ht="31.5" customHeight="1">
      <c r="A27" s="17">
        <v>25.0</v>
      </c>
      <c r="B27" s="10" t="s">
        <v>109</v>
      </c>
      <c r="C27" s="11" t="s">
        <v>110</v>
      </c>
      <c r="D27" s="12" t="s">
        <v>111</v>
      </c>
      <c r="E27" s="12"/>
      <c r="F27" s="12">
        <v>2025.0</v>
      </c>
      <c r="G27" s="14" t="s">
        <v>21</v>
      </c>
      <c r="H27" s="9"/>
      <c r="I27" s="11" t="s">
        <v>74</v>
      </c>
      <c r="J27" s="9">
        <v>144.0</v>
      </c>
      <c r="K27" s="9" t="s">
        <v>23</v>
      </c>
      <c r="L27" s="9" t="s">
        <v>24</v>
      </c>
      <c r="M27" s="11" t="s">
        <v>25</v>
      </c>
      <c r="N27" s="11" t="s">
        <v>26</v>
      </c>
      <c r="O27" s="9" t="s">
        <v>27</v>
      </c>
      <c r="P27" s="15">
        <f t="shared" si="1"/>
        <v>33920</v>
      </c>
      <c r="Q27" s="16">
        <f t="shared" si="2"/>
        <v>67840</v>
      </c>
      <c r="R27" s="6"/>
      <c r="S27" s="6"/>
      <c r="T27" s="6"/>
      <c r="U27" s="6"/>
      <c r="V27" s="6"/>
      <c r="W27" s="6"/>
      <c r="X27" s="6"/>
      <c r="Y27" s="6"/>
    </row>
    <row r="28" ht="31.5" customHeight="1">
      <c r="A28" s="17">
        <v>26.0</v>
      </c>
      <c r="B28" s="10" t="s">
        <v>112</v>
      </c>
      <c r="C28" s="11" t="s">
        <v>113</v>
      </c>
      <c r="D28" s="12" t="s">
        <v>114</v>
      </c>
      <c r="E28" s="13" t="s">
        <v>115</v>
      </c>
      <c r="F28" s="12">
        <v>2025.0</v>
      </c>
      <c r="G28" s="14" t="s">
        <v>21</v>
      </c>
      <c r="H28" s="9"/>
      <c r="I28" s="11" t="s">
        <v>22</v>
      </c>
      <c r="J28" s="9">
        <v>165.0</v>
      </c>
      <c r="K28" s="9" t="s">
        <v>23</v>
      </c>
      <c r="L28" s="9" t="s">
        <v>24</v>
      </c>
      <c r="M28" s="11" t="s">
        <v>25</v>
      </c>
      <c r="N28" s="11" t="s">
        <v>26</v>
      </c>
      <c r="O28" s="9" t="s">
        <v>27</v>
      </c>
      <c r="P28" s="15">
        <f t="shared" si="1"/>
        <v>29750</v>
      </c>
      <c r="Q28" s="16">
        <f t="shared" si="2"/>
        <v>59500</v>
      </c>
      <c r="R28" s="6"/>
      <c r="S28" s="6"/>
      <c r="T28" s="6"/>
      <c r="U28" s="6"/>
      <c r="V28" s="6"/>
      <c r="W28" s="6"/>
      <c r="X28" s="6"/>
      <c r="Y28" s="6"/>
    </row>
    <row r="29" ht="31.5" customHeight="1">
      <c r="A29" s="17">
        <v>27.0</v>
      </c>
      <c r="B29" s="10" t="s">
        <v>116</v>
      </c>
      <c r="C29" s="11" t="s">
        <v>117</v>
      </c>
      <c r="D29" s="12" t="s">
        <v>118</v>
      </c>
      <c r="E29" s="13" t="s">
        <v>48</v>
      </c>
      <c r="F29" s="12">
        <v>2025.0</v>
      </c>
      <c r="G29" s="14" t="s">
        <v>21</v>
      </c>
      <c r="H29" s="9"/>
      <c r="I29" s="11" t="s">
        <v>22</v>
      </c>
      <c r="J29" s="9">
        <v>381.0</v>
      </c>
      <c r="K29" s="9" t="s">
        <v>23</v>
      </c>
      <c r="L29" s="9" t="s">
        <v>24</v>
      </c>
      <c r="M29" s="11" t="s">
        <v>25</v>
      </c>
      <c r="N29" s="11" t="s">
        <v>26</v>
      </c>
      <c r="O29" s="9" t="s">
        <v>27</v>
      </c>
      <c r="P29" s="15">
        <f t="shared" si="1"/>
        <v>62150</v>
      </c>
      <c r="Q29" s="16">
        <f t="shared" si="2"/>
        <v>124300</v>
      </c>
      <c r="R29" s="6"/>
      <c r="S29" s="6"/>
      <c r="T29" s="6"/>
      <c r="U29" s="6"/>
      <c r="V29" s="6"/>
      <c r="W29" s="6"/>
      <c r="X29" s="6"/>
      <c r="Y29" s="6"/>
    </row>
    <row r="30" ht="31.5" customHeight="1">
      <c r="A30" s="17">
        <v>28.0</v>
      </c>
      <c r="B30" s="10" t="s">
        <v>119</v>
      </c>
      <c r="C30" s="11" t="s">
        <v>120</v>
      </c>
      <c r="D30" s="12" t="s">
        <v>121</v>
      </c>
      <c r="E30" s="13" t="s">
        <v>122</v>
      </c>
      <c r="F30" s="12">
        <v>2025.0</v>
      </c>
      <c r="G30" s="14" t="s">
        <v>21</v>
      </c>
      <c r="H30" s="9"/>
      <c r="I30" s="11" t="s">
        <v>22</v>
      </c>
      <c r="J30" s="9">
        <v>50.0</v>
      </c>
      <c r="K30" s="9" t="s">
        <v>23</v>
      </c>
      <c r="L30" s="9" t="s">
        <v>24</v>
      </c>
      <c r="M30" s="11" t="s">
        <v>25</v>
      </c>
      <c r="N30" s="11" t="s">
        <v>26</v>
      </c>
      <c r="O30" s="9" t="s">
        <v>27</v>
      </c>
      <c r="P30" s="15">
        <f t="shared" si="1"/>
        <v>12500</v>
      </c>
      <c r="Q30" s="16">
        <f t="shared" si="2"/>
        <v>25000</v>
      </c>
      <c r="R30" s="6"/>
      <c r="S30" s="6"/>
      <c r="T30" s="6"/>
      <c r="U30" s="6"/>
      <c r="V30" s="6"/>
      <c r="W30" s="6"/>
      <c r="X30" s="6"/>
      <c r="Y30" s="6"/>
    </row>
    <row r="31" ht="31.5" customHeight="1">
      <c r="A31" s="17">
        <v>29.0</v>
      </c>
      <c r="B31" s="10" t="s">
        <v>123</v>
      </c>
      <c r="C31" s="11" t="s">
        <v>124</v>
      </c>
      <c r="D31" s="12" t="s">
        <v>125</v>
      </c>
      <c r="E31" s="12"/>
      <c r="F31" s="12">
        <v>2025.0</v>
      </c>
      <c r="G31" s="14" t="s">
        <v>21</v>
      </c>
      <c r="H31" s="9"/>
      <c r="I31" s="11" t="s">
        <v>22</v>
      </c>
      <c r="J31" s="9">
        <v>154.0</v>
      </c>
      <c r="K31" s="9" t="s">
        <v>23</v>
      </c>
      <c r="L31" s="9" t="s">
        <v>24</v>
      </c>
      <c r="M31" s="11" t="s">
        <v>25</v>
      </c>
      <c r="N31" s="11" t="s">
        <v>26</v>
      </c>
      <c r="O31" s="9" t="s">
        <v>27</v>
      </c>
      <c r="P31" s="15">
        <f t="shared" si="1"/>
        <v>28100</v>
      </c>
      <c r="Q31" s="16">
        <f t="shared" si="2"/>
        <v>56200</v>
      </c>
      <c r="R31" s="6"/>
      <c r="S31" s="6"/>
      <c r="T31" s="6"/>
      <c r="U31" s="6"/>
      <c r="V31" s="6"/>
      <c r="W31" s="6"/>
      <c r="X31" s="6"/>
      <c r="Y31" s="6"/>
    </row>
    <row r="32" ht="31.5" customHeight="1">
      <c r="A32" s="17">
        <v>30.0</v>
      </c>
      <c r="B32" s="10" t="s">
        <v>126</v>
      </c>
      <c r="C32" s="11" t="s">
        <v>127</v>
      </c>
      <c r="D32" s="12" t="s">
        <v>128</v>
      </c>
      <c r="E32" s="13" t="s">
        <v>129</v>
      </c>
      <c r="F32" s="12">
        <v>2025.0</v>
      </c>
      <c r="G32" s="14" t="s">
        <v>21</v>
      </c>
      <c r="H32" s="9"/>
      <c r="I32" s="11" t="s">
        <v>130</v>
      </c>
      <c r="J32" s="9">
        <v>302.0</v>
      </c>
      <c r="K32" s="9" t="s">
        <v>23</v>
      </c>
      <c r="L32" s="9" t="s">
        <v>24</v>
      </c>
      <c r="M32" s="11" t="s">
        <v>25</v>
      </c>
      <c r="N32" s="11" t="s">
        <v>26</v>
      </c>
      <c r="O32" s="9" t="s">
        <v>27</v>
      </c>
      <c r="P32" s="15">
        <f t="shared" si="1"/>
        <v>0</v>
      </c>
      <c r="Q32" s="16">
        <f t="shared" si="2"/>
        <v>0</v>
      </c>
      <c r="R32" s="6"/>
      <c r="S32" s="6"/>
      <c r="T32" s="6"/>
      <c r="U32" s="6"/>
      <c r="V32" s="6"/>
      <c r="W32" s="6"/>
      <c r="X32" s="6"/>
      <c r="Y32" s="6"/>
    </row>
    <row r="33" ht="31.5" customHeight="1">
      <c r="A33" s="17">
        <v>31.0</v>
      </c>
      <c r="B33" s="10" t="s">
        <v>131</v>
      </c>
      <c r="C33" s="11" t="s">
        <v>132</v>
      </c>
      <c r="D33" s="12" t="s">
        <v>133</v>
      </c>
      <c r="E33" s="12"/>
      <c r="F33" s="12">
        <v>2025.0</v>
      </c>
      <c r="G33" s="14" t="s">
        <v>21</v>
      </c>
      <c r="H33" s="9"/>
      <c r="I33" s="11" t="s">
        <v>22</v>
      </c>
      <c r="J33" s="9">
        <v>116.0</v>
      </c>
      <c r="K33" s="9" t="s">
        <v>23</v>
      </c>
      <c r="L33" s="9" t="s">
        <v>24</v>
      </c>
      <c r="M33" s="11" t="s">
        <v>25</v>
      </c>
      <c r="N33" s="11" t="s">
        <v>26</v>
      </c>
      <c r="O33" s="9" t="s">
        <v>27</v>
      </c>
      <c r="P33" s="15">
        <f t="shared" si="1"/>
        <v>22400</v>
      </c>
      <c r="Q33" s="16">
        <f t="shared" si="2"/>
        <v>44800</v>
      </c>
      <c r="R33" s="6"/>
      <c r="S33" s="6"/>
      <c r="T33" s="6"/>
      <c r="U33" s="6"/>
      <c r="V33" s="6"/>
      <c r="W33" s="6"/>
      <c r="X33" s="6"/>
      <c r="Y33" s="6"/>
    </row>
    <row r="34" ht="31.5" customHeight="1">
      <c r="A34" s="17">
        <v>32.0</v>
      </c>
      <c r="B34" s="10" t="s">
        <v>134</v>
      </c>
      <c r="C34" s="11" t="s">
        <v>135</v>
      </c>
      <c r="D34" s="12" t="s">
        <v>136</v>
      </c>
      <c r="E34" s="12"/>
      <c r="F34" s="12">
        <v>2025.0</v>
      </c>
      <c r="G34" s="14" t="s">
        <v>21</v>
      </c>
      <c r="H34" s="9"/>
      <c r="I34" s="11" t="s">
        <v>22</v>
      </c>
      <c r="J34" s="9">
        <v>160.0</v>
      </c>
      <c r="K34" s="9" t="s">
        <v>23</v>
      </c>
      <c r="L34" s="9" t="s">
        <v>24</v>
      </c>
      <c r="M34" s="11" t="s">
        <v>25</v>
      </c>
      <c r="N34" s="11" t="s">
        <v>26</v>
      </c>
      <c r="O34" s="9" t="s">
        <v>27</v>
      </c>
      <c r="P34" s="15">
        <f t="shared" si="1"/>
        <v>29000</v>
      </c>
      <c r="Q34" s="16">
        <f t="shared" si="2"/>
        <v>58000</v>
      </c>
      <c r="R34" s="6"/>
      <c r="S34" s="6"/>
      <c r="T34" s="6"/>
      <c r="U34" s="6"/>
      <c r="V34" s="6"/>
      <c r="W34" s="6"/>
      <c r="X34" s="6"/>
      <c r="Y34" s="6"/>
    </row>
    <row r="35" ht="31.5" customHeight="1">
      <c r="A35" s="17">
        <v>33.0</v>
      </c>
      <c r="B35" s="10" t="s">
        <v>137</v>
      </c>
      <c r="C35" s="11" t="s">
        <v>138</v>
      </c>
      <c r="D35" s="12" t="s">
        <v>139</v>
      </c>
      <c r="E35" s="13" t="s">
        <v>115</v>
      </c>
      <c r="F35" s="12">
        <v>2025.0</v>
      </c>
      <c r="G35" s="14" t="s">
        <v>21</v>
      </c>
      <c r="H35" s="9"/>
      <c r="I35" s="11" t="s">
        <v>22</v>
      </c>
      <c r="J35" s="9">
        <v>566.0</v>
      </c>
      <c r="K35" s="9" t="s">
        <v>23</v>
      </c>
      <c r="L35" s="9" t="s">
        <v>24</v>
      </c>
      <c r="M35" s="11" t="s">
        <v>25</v>
      </c>
      <c r="N35" s="11" t="s">
        <v>26</v>
      </c>
      <c r="O35" s="9" t="s">
        <v>27</v>
      </c>
      <c r="P35" s="15">
        <f t="shared" si="1"/>
        <v>89900</v>
      </c>
      <c r="Q35" s="16">
        <f t="shared" si="2"/>
        <v>179800</v>
      </c>
      <c r="R35" s="6"/>
      <c r="S35" s="6"/>
      <c r="T35" s="6"/>
      <c r="U35" s="6"/>
      <c r="V35" s="6"/>
      <c r="W35" s="6"/>
      <c r="X35" s="6"/>
      <c r="Y35" s="6"/>
    </row>
    <row r="36" ht="31.5" customHeight="1">
      <c r="A36" s="17">
        <v>34.0</v>
      </c>
      <c r="B36" s="10" t="s">
        <v>140</v>
      </c>
      <c r="C36" s="11" t="s">
        <v>141</v>
      </c>
      <c r="D36" s="12" t="s">
        <v>142</v>
      </c>
      <c r="E36" s="13" t="s">
        <v>102</v>
      </c>
      <c r="F36" s="12">
        <v>2025.0</v>
      </c>
      <c r="G36" s="14" t="s">
        <v>21</v>
      </c>
      <c r="H36" s="9"/>
      <c r="I36" s="11" t="s">
        <v>74</v>
      </c>
      <c r="J36" s="9">
        <v>154.0</v>
      </c>
      <c r="K36" s="9" t="s">
        <v>23</v>
      </c>
      <c r="L36" s="9" t="s">
        <v>24</v>
      </c>
      <c r="M36" s="11" t="s">
        <v>25</v>
      </c>
      <c r="N36" s="11" t="s">
        <v>26</v>
      </c>
      <c r="O36" s="9" t="s">
        <v>27</v>
      </c>
      <c r="P36" s="15">
        <f t="shared" si="1"/>
        <v>35720</v>
      </c>
      <c r="Q36" s="16">
        <f t="shared" si="2"/>
        <v>71440</v>
      </c>
      <c r="R36" s="6"/>
      <c r="S36" s="6"/>
      <c r="T36" s="6"/>
      <c r="U36" s="6"/>
      <c r="V36" s="6"/>
      <c r="W36" s="6"/>
      <c r="X36" s="6"/>
      <c r="Y36" s="6"/>
    </row>
    <row r="37" ht="31.5" customHeight="1">
      <c r="A37" s="17">
        <v>35.0</v>
      </c>
      <c r="B37" s="10" t="s">
        <v>143</v>
      </c>
      <c r="C37" s="11" t="s">
        <v>144</v>
      </c>
      <c r="D37" s="12" t="s">
        <v>145</v>
      </c>
      <c r="E37" s="12"/>
      <c r="F37" s="12">
        <v>2025.0</v>
      </c>
      <c r="G37" s="14" t="s">
        <v>21</v>
      </c>
      <c r="H37" s="9"/>
      <c r="I37" s="11" t="s">
        <v>22</v>
      </c>
      <c r="J37" s="9">
        <v>272.0</v>
      </c>
      <c r="K37" s="9" t="s">
        <v>23</v>
      </c>
      <c r="L37" s="9" t="s">
        <v>24</v>
      </c>
      <c r="M37" s="11" t="s">
        <v>25</v>
      </c>
      <c r="N37" s="11" t="s">
        <v>26</v>
      </c>
      <c r="O37" s="9" t="s">
        <v>27</v>
      </c>
      <c r="P37" s="15">
        <f t="shared" si="1"/>
        <v>45800</v>
      </c>
      <c r="Q37" s="16">
        <f t="shared" si="2"/>
        <v>91600</v>
      </c>
      <c r="R37" s="6"/>
      <c r="S37" s="6"/>
      <c r="T37" s="6"/>
      <c r="U37" s="6"/>
      <c r="V37" s="6"/>
      <c r="W37" s="6"/>
      <c r="X37" s="6"/>
      <c r="Y37" s="6"/>
    </row>
    <row r="38" ht="31.5" customHeight="1">
      <c r="A38" s="17">
        <v>36.0</v>
      </c>
      <c r="B38" s="10" t="s">
        <v>146</v>
      </c>
      <c r="C38" s="11" t="s">
        <v>147</v>
      </c>
      <c r="D38" s="12" t="s">
        <v>148</v>
      </c>
      <c r="E38" s="12"/>
      <c r="F38" s="12">
        <v>2025.0</v>
      </c>
      <c r="G38" s="14" t="s">
        <v>21</v>
      </c>
      <c r="H38" s="9"/>
      <c r="I38" s="11" t="s">
        <v>22</v>
      </c>
      <c r="J38" s="9">
        <v>197.0</v>
      </c>
      <c r="K38" s="9" t="s">
        <v>23</v>
      </c>
      <c r="L38" s="9" t="s">
        <v>24</v>
      </c>
      <c r="M38" s="11" t="s">
        <v>25</v>
      </c>
      <c r="N38" s="11" t="s">
        <v>26</v>
      </c>
      <c r="O38" s="9" t="s">
        <v>27</v>
      </c>
      <c r="P38" s="15">
        <f t="shared" si="1"/>
        <v>34550</v>
      </c>
      <c r="Q38" s="16">
        <f t="shared" si="2"/>
        <v>69100</v>
      </c>
      <c r="R38" s="6"/>
      <c r="S38" s="6"/>
      <c r="T38" s="6"/>
      <c r="U38" s="6"/>
      <c r="V38" s="6"/>
      <c r="W38" s="6"/>
      <c r="X38" s="6"/>
      <c r="Y38" s="6"/>
    </row>
    <row r="39" ht="31.5" customHeight="1">
      <c r="A39" s="17">
        <v>37.0</v>
      </c>
      <c r="B39" s="10" t="s">
        <v>149</v>
      </c>
      <c r="C39" s="11" t="s">
        <v>150</v>
      </c>
      <c r="D39" s="12" t="s">
        <v>151</v>
      </c>
      <c r="E39" s="13" t="s">
        <v>152</v>
      </c>
      <c r="F39" s="12">
        <v>2025.0</v>
      </c>
      <c r="G39" s="14" t="s">
        <v>21</v>
      </c>
      <c r="H39" s="9"/>
      <c r="I39" s="11" t="s">
        <v>22</v>
      </c>
      <c r="J39" s="9">
        <v>220.0</v>
      </c>
      <c r="K39" s="9" t="s">
        <v>23</v>
      </c>
      <c r="L39" s="9" t="s">
        <v>24</v>
      </c>
      <c r="M39" s="11" t="s">
        <v>25</v>
      </c>
      <c r="N39" s="11" t="s">
        <v>26</v>
      </c>
      <c r="O39" s="9" t="s">
        <v>27</v>
      </c>
      <c r="P39" s="15">
        <f t="shared" si="1"/>
        <v>38000</v>
      </c>
      <c r="Q39" s="16">
        <f t="shared" si="2"/>
        <v>76000</v>
      </c>
      <c r="R39" s="6"/>
      <c r="S39" s="6"/>
      <c r="T39" s="6"/>
      <c r="U39" s="6"/>
      <c r="V39" s="6"/>
      <c r="W39" s="6"/>
      <c r="X39" s="6"/>
      <c r="Y39" s="6"/>
    </row>
    <row r="40" ht="31.5" customHeight="1">
      <c r="A40" s="17">
        <v>38.0</v>
      </c>
      <c r="B40" s="10" t="s">
        <v>153</v>
      </c>
      <c r="C40" s="11" t="s">
        <v>154</v>
      </c>
      <c r="D40" s="12" t="s">
        <v>155</v>
      </c>
      <c r="E40" s="12"/>
      <c r="F40" s="12">
        <v>2025.0</v>
      </c>
      <c r="G40" s="14" t="s">
        <v>21</v>
      </c>
      <c r="H40" s="9"/>
      <c r="I40" s="11" t="s">
        <v>22</v>
      </c>
      <c r="J40" s="9">
        <v>112.0</v>
      </c>
      <c r="K40" s="9" t="s">
        <v>23</v>
      </c>
      <c r="L40" s="9" t="s">
        <v>24</v>
      </c>
      <c r="M40" s="11" t="s">
        <v>25</v>
      </c>
      <c r="N40" s="11" t="s">
        <v>26</v>
      </c>
      <c r="O40" s="9" t="s">
        <v>27</v>
      </c>
      <c r="P40" s="15">
        <f t="shared" si="1"/>
        <v>21800</v>
      </c>
      <c r="Q40" s="16">
        <f t="shared" si="2"/>
        <v>43600</v>
      </c>
      <c r="R40" s="6"/>
      <c r="S40" s="6"/>
      <c r="T40" s="6"/>
      <c r="U40" s="6"/>
      <c r="V40" s="6"/>
      <c r="W40" s="6"/>
      <c r="X40" s="6"/>
      <c r="Y40" s="6"/>
    </row>
    <row r="41" ht="31.5" customHeight="1">
      <c r="A41" s="17">
        <v>39.0</v>
      </c>
      <c r="B41" s="10" t="s">
        <v>156</v>
      </c>
      <c r="C41" s="11" t="s">
        <v>157</v>
      </c>
      <c r="D41" s="12" t="s">
        <v>158</v>
      </c>
      <c r="E41" s="12"/>
      <c r="F41" s="12">
        <v>2025.0</v>
      </c>
      <c r="G41" s="14" t="s">
        <v>21</v>
      </c>
      <c r="H41" s="9"/>
      <c r="I41" s="11" t="s">
        <v>22</v>
      </c>
      <c r="J41" s="9">
        <v>118.0</v>
      </c>
      <c r="K41" s="9" t="s">
        <v>23</v>
      </c>
      <c r="L41" s="9" t="s">
        <v>24</v>
      </c>
      <c r="M41" s="11" t="s">
        <v>25</v>
      </c>
      <c r="N41" s="11" t="s">
        <v>26</v>
      </c>
      <c r="O41" s="9" t="s">
        <v>27</v>
      </c>
      <c r="P41" s="15">
        <f t="shared" si="1"/>
        <v>22700</v>
      </c>
      <c r="Q41" s="16">
        <f t="shared" si="2"/>
        <v>45400</v>
      </c>
      <c r="R41" s="6"/>
      <c r="S41" s="6"/>
      <c r="T41" s="6"/>
      <c r="U41" s="6"/>
      <c r="V41" s="6"/>
      <c r="W41" s="6"/>
      <c r="X41" s="6"/>
      <c r="Y41" s="6"/>
    </row>
    <row r="42" ht="31.5" customHeight="1">
      <c r="A42" s="17">
        <v>40.0</v>
      </c>
      <c r="B42" s="10" t="s">
        <v>159</v>
      </c>
      <c r="C42" s="11" t="s">
        <v>160</v>
      </c>
      <c r="D42" s="12" t="s">
        <v>161</v>
      </c>
      <c r="E42" s="13" t="s">
        <v>115</v>
      </c>
      <c r="F42" s="12">
        <v>2025.0</v>
      </c>
      <c r="G42" s="14" t="s">
        <v>21</v>
      </c>
      <c r="H42" s="9"/>
      <c r="I42" s="11" t="s">
        <v>22</v>
      </c>
      <c r="J42" s="9">
        <v>199.0</v>
      </c>
      <c r="K42" s="9" t="s">
        <v>23</v>
      </c>
      <c r="L42" s="9" t="s">
        <v>24</v>
      </c>
      <c r="M42" s="11" t="s">
        <v>25</v>
      </c>
      <c r="N42" s="11" t="s">
        <v>26</v>
      </c>
      <c r="O42" s="9" t="s">
        <v>27</v>
      </c>
      <c r="P42" s="15">
        <f t="shared" si="1"/>
        <v>34850</v>
      </c>
      <c r="Q42" s="16">
        <f t="shared" si="2"/>
        <v>69700</v>
      </c>
      <c r="R42" s="6"/>
      <c r="S42" s="6"/>
      <c r="T42" s="6"/>
      <c r="U42" s="6"/>
      <c r="V42" s="6"/>
      <c r="W42" s="6"/>
      <c r="X42" s="6"/>
      <c r="Y42" s="6"/>
    </row>
    <row r="43" ht="31.5" customHeight="1">
      <c r="A43" s="17">
        <v>41.0</v>
      </c>
      <c r="B43" s="10" t="s">
        <v>159</v>
      </c>
      <c r="C43" s="11" t="s">
        <v>160</v>
      </c>
      <c r="D43" s="12" t="s">
        <v>162</v>
      </c>
      <c r="E43" s="13" t="s">
        <v>115</v>
      </c>
      <c r="F43" s="12">
        <v>2025.0</v>
      </c>
      <c r="G43" s="14" t="s">
        <v>21</v>
      </c>
      <c r="H43" s="9"/>
      <c r="I43" s="11" t="s">
        <v>22</v>
      </c>
      <c r="J43" s="9">
        <v>199.0</v>
      </c>
      <c r="K43" s="9" t="s">
        <v>23</v>
      </c>
      <c r="L43" s="9" t="s">
        <v>24</v>
      </c>
      <c r="M43" s="11" t="s">
        <v>25</v>
      </c>
      <c r="N43" s="11" t="s">
        <v>26</v>
      </c>
      <c r="O43" s="9" t="s">
        <v>27</v>
      </c>
      <c r="P43" s="15">
        <f t="shared" si="1"/>
        <v>34850</v>
      </c>
      <c r="Q43" s="16">
        <f t="shared" si="2"/>
        <v>69700</v>
      </c>
      <c r="R43" s="6"/>
      <c r="S43" s="6"/>
      <c r="T43" s="6"/>
      <c r="U43" s="6"/>
      <c r="V43" s="6"/>
      <c r="W43" s="6"/>
      <c r="X43" s="6"/>
      <c r="Y43" s="6"/>
    </row>
    <row r="44" ht="31.5" customHeight="1">
      <c r="A44" s="17">
        <v>42.0</v>
      </c>
      <c r="B44" s="10" t="s">
        <v>163</v>
      </c>
      <c r="C44" s="11" t="s">
        <v>164</v>
      </c>
      <c r="D44" s="12" t="s">
        <v>165</v>
      </c>
      <c r="E44" s="13" t="s">
        <v>48</v>
      </c>
      <c r="F44" s="12">
        <v>2025.0</v>
      </c>
      <c r="G44" s="14" t="s">
        <v>21</v>
      </c>
      <c r="H44" s="9"/>
      <c r="I44" s="11" t="s">
        <v>22</v>
      </c>
      <c r="J44" s="9">
        <v>324.0</v>
      </c>
      <c r="K44" s="9" t="s">
        <v>23</v>
      </c>
      <c r="L44" s="9" t="s">
        <v>24</v>
      </c>
      <c r="M44" s="11" t="s">
        <v>25</v>
      </c>
      <c r="N44" s="11" t="s">
        <v>26</v>
      </c>
      <c r="O44" s="9" t="s">
        <v>27</v>
      </c>
      <c r="P44" s="15">
        <f t="shared" si="1"/>
        <v>53600</v>
      </c>
      <c r="Q44" s="16">
        <f t="shared" si="2"/>
        <v>107200</v>
      </c>
      <c r="R44" s="6"/>
      <c r="S44" s="6"/>
      <c r="T44" s="6"/>
      <c r="U44" s="6"/>
      <c r="V44" s="6"/>
      <c r="W44" s="6"/>
      <c r="X44" s="6"/>
      <c r="Y44" s="6"/>
    </row>
    <row r="45" ht="31.5" customHeight="1">
      <c r="A45" s="17">
        <v>43.0</v>
      </c>
      <c r="B45" s="10" t="s">
        <v>166</v>
      </c>
      <c r="C45" s="11" t="s">
        <v>167</v>
      </c>
      <c r="D45" s="12" t="s">
        <v>168</v>
      </c>
      <c r="E45" s="13" t="s">
        <v>102</v>
      </c>
      <c r="F45" s="12">
        <v>2025.0</v>
      </c>
      <c r="G45" s="14" t="s">
        <v>21</v>
      </c>
      <c r="H45" s="9"/>
      <c r="I45" s="11" t="s">
        <v>22</v>
      </c>
      <c r="J45" s="9">
        <v>220.0</v>
      </c>
      <c r="K45" s="9" t="s">
        <v>23</v>
      </c>
      <c r="L45" s="9" t="s">
        <v>24</v>
      </c>
      <c r="M45" s="11" t="s">
        <v>25</v>
      </c>
      <c r="N45" s="11" t="s">
        <v>26</v>
      </c>
      <c r="O45" s="9" t="s">
        <v>27</v>
      </c>
      <c r="P45" s="15">
        <f t="shared" si="1"/>
        <v>38000</v>
      </c>
      <c r="Q45" s="16">
        <f t="shared" si="2"/>
        <v>76000</v>
      </c>
      <c r="R45" s="6"/>
      <c r="S45" s="6"/>
      <c r="T45" s="6"/>
      <c r="U45" s="6"/>
      <c r="V45" s="6"/>
      <c r="W45" s="6"/>
      <c r="X45" s="6"/>
      <c r="Y45" s="6"/>
    </row>
    <row r="46" ht="31.5" customHeight="1">
      <c r="A46" s="17">
        <v>44.0</v>
      </c>
      <c r="B46" s="10" t="s">
        <v>169</v>
      </c>
      <c r="C46" s="11" t="s">
        <v>170</v>
      </c>
      <c r="D46" s="12" t="s">
        <v>171</v>
      </c>
      <c r="E46" s="13" t="s">
        <v>115</v>
      </c>
      <c r="F46" s="12">
        <v>2025.0</v>
      </c>
      <c r="G46" s="14" t="s">
        <v>21</v>
      </c>
      <c r="H46" s="9"/>
      <c r="I46" s="11" t="s">
        <v>22</v>
      </c>
      <c r="J46" s="9">
        <v>154.0</v>
      </c>
      <c r="K46" s="9" t="s">
        <v>23</v>
      </c>
      <c r="L46" s="9" t="s">
        <v>24</v>
      </c>
      <c r="M46" s="11" t="s">
        <v>25</v>
      </c>
      <c r="N46" s="11" t="s">
        <v>26</v>
      </c>
      <c r="O46" s="9" t="s">
        <v>27</v>
      </c>
      <c r="P46" s="15">
        <f t="shared" si="1"/>
        <v>28100</v>
      </c>
      <c r="Q46" s="16">
        <f t="shared" si="2"/>
        <v>56200</v>
      </c>
      <c r="R46" s="6"/>
      <c r="S46" s="6"/>
      <c r="T46" s="6"/>
      <c r="U46" s="6"/>
      <c r="V46" s="6"/>
      <c r="W46" s="6"/>
      <c r="X46" s="6"/>
      <c r="Y46" s="6"/>
    </row>
    <row r="47" ht="31.5" customHeight="1">
      <c r="A47" s="17">
        <v>45.0</v>
      </c>
      <c r="B47" s="10" t="s">
        <v>172</v>
      </c>
      <c r="C47" s="11" t="s">
        <v>113</v>
      </c>
      <c r="D47" s="12" t="s">
        <v>173</v>
      </c>
      <c r="E47" s="13" t="s">
        <v>115</v>
      </c>
      <c r="F47" s="12">
        <v>2025.0</v>
      </c>
      <c r="G47" s="14" t="s">
        <v>21</v>
      </c>
      <c r="H47" s="9"/>
      <c r="I47" s="11" t="s">
        <v>22</v>
      </c>
      <c r="J47" s="9">
        <v>88.0</v>
      </c>
      <c r="K47" s="9" t="s">
        <v>23</v>
      </c>
      <c r="L47" s="9" t="s">
        <v>24</v>
      </c>
      <c r="M47" s="11" t="s">
        <v>25</v>
      </c>
      <c r="N47" s="11" t="s">
        <v>26</v>
      </c>
      <c r="O47" s="9" t="s">
        <v>27</v>
      </c>
      <c r="P47" s="15">
        <f t="shared" si="1"/>
        <v>18200</v>
      </c>
      <c r="Q47" s="16">
        <f t="shared" si="2"/>
        <v>36400</v>
      </c>
      <c r="R47" s="6"/>
      <c r="S47" s="6"/>
      <c r="T47" s="6"/>
      <c r="U47" s="6"/>
      <c r="V47" s="6"/>
      <c r="W47" s="6"/>
      <c r="X47" s="6"/>
      <c r="Y47" s="6"/>
    </row>
    <row r="48" ht="31.5" customHeight="1">
      <c r="A48" s="17">
        <v>46.0</v>
      </c>
      <c r="B48" s="10" t="s">
        <v>174</v>
      </c>
      <c r="C48" s="11" t="s">
        <v>175</v>
      </c>
      <c r="D48" s="12" t="s">
        <v>176</v>
      </c>
      <c r="E48" s="12"/>
      <c r="F48" s="12">
        <v>2025.0</v>
      </c>
      <c r="G48" s="14" t="s">
        <v>21</v>
      </c>
      <c r="H48" s="9"/>
      <c r="I48" s="11" t="s">
        <v>22</v>
      </c>
      <c r="J48" s="9">
        <v>424.0</v>
      </c>
      <c r="K48" s="9" t="s">
        <v>23</v>
      </c>
      <c r="L48" s="9" t="s">
        <v>24</v>
      </c>
      <c r="M48" s="11" t="s">
        <v>25</v>
      </c>
      <c r="N48" s="11" t="s">
        <v>26</v>
      </c>
      <c r="O48" s="9" t="s">
        <v>27</v>
      </c>
      <c r="P48" s="15">
        <f t="shared" si="1"/>
        <v>68600</v>
      </c>
      <c r="Q48" s="16">
        <f t="shared" si="2"/>
        <v>137200</v>
      </c>
      <c r="R48" s="6"/>
      <c r="S48" s="6"/>
      <c r="T48" s="6"/>
      <c r="U48" s="6"/>
      <c r="V48" s="6"/>
      <c r="W48" s="6"/>
      <c r="X48" s="6"/>
      <c r="Y48" s="6"/>
    </row>
    <row r="49" ht="31.5" customHeight="1">
      <c r="A49" s="17">
        <v>47.0</v>
      </c>
      <c r="B49" s="10" t="s">
        <v>177</v>
      </c>
      <c r="C49" s="11" t="s">
        <v>175</v>
      </c>
      <c r="D49" s="12" t="s">
        <v>178</v>
      </c>
      <c r="E49" s="12"/>
      <c r="F49" s="12">
        <v>2025.0</v>
      </c>
      <c r="G49" s="14" t="s">
        <v>21</v>
      </c>
      <c r="H49" s="9"/>
      <c r="I49" s="11" t="s">
        <v>22</v>
      </c>
      <c r="J49" s="9">
        <v>421.0</v>
      </c>
      <c r="K49" s="9" t="s">
        <v>23</v>
      </c>
      <c r="L49" s="9" t="s">
        <v>24</v>
      </c>
      <c r="M49" s="11" t="s">
        <v>25</v>
      </c>
      <c r="N49" s="11" t="s">
        <v>26</v>
      </c>
      <c r="O49" s="9" t="s">
        <v>27</v>
      </c>
      <c r="P49" s="15">
        <f t="shared" si="1"/>
        <v>68150</v>
      </c>
      <c r="Q49" s="16">
        <f t="shared" si="2"/>
        <v>136300</v>
      </c>
      <c r="R49" s="6"/>
      <c r="S49" s="6"/>
      <c r="T49" s="6"/>
      <c r="U49" s="6"/>
      <c r="V49" s="6"/>
      <c r="W49" s="6"/>
      <c r="X49" s="6"/>
      <c r="Y49" s="6"/>
    </row>
    <row r="50" ht="31.5" customHeight="1">
      <c r="A50" s="17">
        <v>48.0</v>
      </c>
      <c r="B50" s="10" t="s">
        <v>179</v>
      </c>
      <c r="C50" s="11" t="s">
        <v>175</v>
      </c>
      <c r="D50" s="12" t="s">
        <v>180</v>
      </c>
      <c r="E50" s="12"/>
      <c r="F50" s="12">
        <v>2025.0</v>
      </c>
      <c r="G50" s="14" t="s">
        <v>21</v>
      </c>
      <c r="H50" s="9"/>
      <c r="I50" s="11" t="s">
        <v>22</v>
      </c>
      <c r="J50" s="9">
        <v>845.0</v>
      </c>
      <c r="K50" s="9" t="s">
        <v>23</v>
      </c>
      <c r="L50" s="9" t="s">
        <v>24</v>
      </c>
      <c r="M50" s="11" t="s">
        <v>25</v>
      </c>
      <c r="N50" s="11" t="s">
        <v>26</v>
      </c>
      <c r="O50" s="9" t="s">
        <v>27</v>
      </c>
      <c r="P50" s="15">
        <f t="shared" si="1"/>
        <v>131750</v>
      </c>
      <c r="Q50" s="16">
        <f t="shared" si="2"/>
        <v>263500</v>
      </c>
      <c r="R50" s="6"/>
      <c r="S50" s="6"/>
      <c r="T50" s="6"/>
      <c r="U50" s="6"/>
      <c r="V50" s="6"/>
      <c r="W50" s="6"/>
      <c r="X50" s="6"/>
      <c r="Y50" s="6"/>
    </row>
    <row r="51" ht="31.5" customHeight="1">
      <c r="A51" s="17">
        <v>49.0</v>
      </c>
      <c r="B51" s="10" t="s">
        <v>181</v>
      </c>
      <c r="C51" s="11" t="s">
        <v>138</v>
      </c>
      <c r="D51" s="12" t="s">
        <v>182</v>
      </c>
      <c r="E51" s="13" t="s">
        <v>115</v>
      </c>
      <c r="F51" s="12">
        <v>2025.0</v>
      </c>
      <c r="G51" s="14" t="s">
        <v>21</v>
      </c>
      <c r="H51" s="9"/>
      <c r="I51" s="11" t="s">
        <v>22</v>
      </c>
      <c r="J51" s="9">
        <v>176.0</v>
      </c>
      <c r="K51" s="9" t="s">
        <v>23</v>
      </c>
      <c r="L51" s="9" t="s">
        <v>24</v>
      </c>
      <c r="M51" s="11" t="s">
        <v>25</v>
      </c>
      <c r="N51" s="11" t="s">
        <v>26</v>
      </c>
      <c r="O51" s="9" t="s">
        <v>27</v>
      </c>
      <c r="P51" s="15">
        <f t="shared" si="1"/>
        <v>31400</v>
      </c>
      <c r="Q51" s="16">
        <f t="shared" si="2"/>
        <v>62800</v>
      </c>
      <c r="R51" s="6"/>
      <c r="S51" s="6"/>
      <c r="T51" s="6"/>
      <c r="U51" s="6"/>
      <c r="V51" s="6"/>
      <c r="W51" s="6"/>
      <c r="X51" s="6"/>
      <c r="Y51" s="6"/>
    </row>
    <row r="52" ht="31.5" customHeight="1">
      <c r="A52" s="17">
        <v>50.0</v>
      </c>
      <c r="B52" s="10" t="s">
        <v>183</v>
      </c>
      <c r="C52" s="11" t="s">
        <v>184</v>
      </c>
      <c r="D52" s="12" t="s">
        <v>185</v>
      </c>
      <c r="E52" s="12"/>
      <c r="F52" s="12">
        <v>2025.0</v>
      </c>
      <c r="G52" s="14" t="s">
        <v>21</v>
      </c>
      <c r="H52" s="9"/>
      <c r="I52" s="11" t="s">
        <v>22</v>
      </c>
      <c r="J52" s="9">
        <v>408.0</v>
      </c>
      <c r="K52" s="9" t="s">
        <v>23</v>
      </c>
      <c r="L52" s="9" t="s">
        <v>24</v>
      </c>
      <c r="M52" s="11" t="s">
        <v>25</v>
      </c>
      <c r="N52" s="11" t="s">
        <v>26</v>
      </c>
      <c r="O52" s="9" t="s">
        <v>27</v>
      </c>
      <c r="P52" s="15">
        <f t="shared" si="1"/>
        <v>66200</v>
      </c>
      <c r="Q52" s="16">
        <f t="shared" si="2"/>
        <v>132400</v>
      </c>
      <c r="R52" s="6"/>
      <c r="S52" s="6"/>
      <c r="T52" s="6"/>
      <c r="U52" s="6"/>
      <c r="V52" s="6"/>
      <c r="W52" s="6"/>
      <c r="X52" s="6"/>
      <c r="Y52" s="6"/>
    </row>
    <row r="53" ht="31.5" customHeight="1">
      <c r="A53" s="17">
        <v>51.0</v>
      </c>
      <c r="B53" s="10" t="s">
        <v>186</v>
      </c>
      <c r="C53" s="11" t="s">
        <v>187</v>
      </c>
      <c r="D53" s="12" t="s">
        <v>188</v>
      </c>
      <c r="E53" s="12"/>
      <c r="F53" s="12">
        <v>2025.0</v>
      </c>
      <c r="G53" s="14" t="s">
        <v>21</v>
      </c>
      <c r="H53" s="9"/>
      <c r="I53" s="11" t="s">
        <v>22</v>
      </c>
      <c r="J53" s="9">
        <v>209.0</v>
      </c>
      <c r="K53" s="9" t="s">
        <v>23</v>
      </c>
      <c r="L53" s="9" t="s">
        <v>24</v>
      </c>
      <c r="M53" s="11" t="s">
        <v>25</v>
      </c>
      <c r="N53" s="11" t="s">
        <v>26</v>
      </c>
      <c r="O53" s="9" t="s">
        <v>27</v>
      </c>
      <c r="P53" s="15">
        <f t="shared" si="1"/>
        <v>36350</v>
      </c>
      <c r="Q53" s="16">
        <f t="shared" si="2"/>
        <v>72700</v>
      </c>
      <c r="R53" s="6"/>
      <c r="S53" s="6"/>
      <c r="T53" s="6"/>
      <c r="U53" s="6"/>
      <c r="V53" s="6"/>
      <c r="W53" s="6"/>
      <c r="X53" s="6"/>
      <c r="Y53" s="6"/>
    </row>
    <row r="54" ht="31.5" customHeight="1">
      <c r="A54" s="17">
        <v>52.0</v>
      </c>
      <c r="B54" s="10" t="s">
        <v>189</v>
      </c>
      <c r="C54" s="11" t="s">
        <v>190</v>
      </c>
      <c r="D54" s="12" t="s">
        <v>191</v>
      </c>
      <c r="E54" s="12" t="s">
        <v>102</v>
      </c>
      <c r="F54" s="12">
        <v>2025.0</v>
      </c>
      <c r="G54" s="14" t="s">
        <v>21</v>
      </c>
      <c r="H54" s="9"/>
      <c r="I54" s="11" t="s">
        <v>22</v>
      </c>
      <c r="J54" s="9">
        <v>144.0</v>
      </c>
      <c r="K54" s="9" t="s">
        <v>23</v>
      </c>
      <c r="L54" s="9" t="s">
        <v>24</v>
      </c>
      <c r="M54" s="11" t="s">
        <v>25</v>
      </c>
      <c r="N54" s="11" t="s">
        <v>26</v>
      </c>
      <c r="O54" s="9" t="s">
        <v>27</v>
      </c>
      <c r="P54" s="15">
        <f t="shared" si="1"/>
        <v>26600</v>
      </c>
      <c r="Q54" s="16">
        <f t="shared" si="2"/>
        <v>53200</v>
      </c>
      <c r="R54" s="6"/>
      <c r="S54" s="6"/>
      <c r="T54" s="6"/>
      <c r="U54" s="6"/>
      <c r="V54" s="6"/>
      <c r="W54" s="6"/>
      <c r="X54" s="6"/>
      <c r="Y54" s="6"/>
    </row>
    <row r="55" ht="31.5" customHeight="1">
      <c r="A55" s="17">
        <v>53.0</v>
      </c>
      <c r="B55" s="10" t="s">
        <v>192</v>
      </c>
      <c r="C55" s="11" t="s">
        <v>175</v>
      </c>
      <c r="D55" s="12" t="s">
        <v>193</v>
      </c>
      <c r="E55" s="12"/>
      <c r="F55" s="12">
        <v>2025.0</v>
      </c>
      <c r="G55" s="14" t="s">
        <v>21</v>
      </c>
      <c r="H55" s="9"/>
      <c r="I55" s="11" t="s">
        <v>22</v>
      </c>
      <c r="J55" s="9">
        <v>282.0</v>
      </c>
      <c r="K55" s="9" t="s">
        <v>23</v>
      </c>
      <c r="L55" s="9" t="s">
        <v>24</v>
      </c>
      <c r="M55" s="11" t="s">
        <v>25</v>
      </c>
      <c r="N55" s="11" t="s">
        <v>26</v>
      </c>
      <c r="O55" s="9" t="s">
        <v>27</v>
      </c>
      <c r="P55" s="15">
        <f t="shared" si="1"/>
        <v>47300</v>
      </c>
      <c r="Q55" s="16">
        <f t="shared" si="2"/>
        <v>94600</v>
      </c>
      <c r="R55" s="6"/>
      <c r="S55" s="6"/>
      <c r="T55" s="6"/>
      <c r="U55" s="6"/>
      <c r="V55" s="6"/>
      <c r="W55" s="6"/>
      <c r="X55" s="6"/>
      <c r="Y55" s="6"/>
    </row>
    <row r="56" ht="31.5" customHeight="1">
      <c r="A56" s="17">
        <v>54.0</v>
      </c>
      <c r="B56" s="10" t="s">
        <v>194</v>
      </c>
      <c r="C56" s="11" t="s">
        <v>195</v>
      </c>
      <c r="D56" s="12" t="s">
        <v>196</v>
      </c>
      <c r="E56" s="13" t="s">
        <v>197</v>
      </c>
      <c r="F56" s="12">
        <v>2025.0</v>
      </c>
      <c r="G56" s="14" t="s">
        <v>21</v>
      </c>
      <c r="H56" s="9"/>
      <c r="I56" s="11" t="s">
        <v>22</v>
      </c>
      <c r="J56" s="9">
        <v>175.0</v>
      </c>
      <c r="K56" s="9" t="s">
        <v>23</v>
      </c>
      <c r="L56" s="9" t="s">
        <v>24</v>
      </c>
      <c r="M56" s="11" t="s">
        <v>25</v>
      </c>
      <c r="N56" s="11" t="s">
        <v>26</v>
      </c>
      <c r="O56" s="9" t="s">
        <v>27</v>
      </c>
      <c r="P56" s="15">
        <f t="shared" si="1"/>
        <v>31250</v>
      </c>
      <c r="Q56" s="16">
        <f t="shared" si="2"/>
        <v>62500</v>
      </c>
      <c r="R56" s="6"/>
      <c r="S56" s="6"/>
      <c r="T56" s="6"/>
      <c r="U56" s="6"/>
      <c r="V56" s="6"/>
      <c r="W56" s="6"/>
      <c r="X56" s="6"/>
      <c r="Y56" s="6"/>
    </row>
    <row r="57" ht="31.5" customHeight="1">
      <c r="A57" s="17">
        <v>55.0</v>
      </c>
      <c r="B57" s="10" t="s">
        <v>198</v>
      </c>
      <c r="C57" s="11" t="s">
        <v>113</v>
      </c>
      <c r="D57" s="12" t="s">
        <v>199</v>
      </c>
      <c r="E57" s="13" t="s">
        <v>115</v>
      </c>
      <c r="F57" s="12">
        <v>2025.0</v>
      </c>
      <c r="G57" s="14" t="s">
        <v>21</v>
      </c>
      <c r="H57" s="9"/>
      <c r="I57" s="11" t="s">
        <v>22</v>
      </c>
      <c r="J57" s="9">
        <v>142.0</v>
      </c>
      <c r="K57" s="9" t="s">
        <v>23</v>
      </c>
      <c r="L57" s="9" t="s">
        <v>24</v>
      </c>
      <c r="M57" s="11" t="s">
        <v>25</v>
      </c>
      <c r="N57" s="11" t="s">
        <v>26</v>
      </c>
      <c r="O57" s="9" t="s">
        <v>27</v>
      </c>
      <c r="P57" s="15">
        <f t="shared" si="1"/>
        <v>26300</v>
      </c>
      <c r="Q57" s="16">
        <f t="shared" si="2"/>
        <v>52600</v>
      </c>
      <c r="R57" s="6"/>
      <c r="S57" s="6"/>
      <c r="T57" s="6"/>
      <c r="U57" s="6"/>
      <c r="V57" s="6"/>
      <c r="W57" s="6"/>
      <c r="X57" s="6"/>
      <c r="Y57" s="6"/>
    </row>
    <row r="58" ht="31.5" customHeight="1">
      <c r="A58" s="17">
        <v>56.0</v>
      </c>
      <c r="B58" s="10" t="s">
        <v>200</v>
      </c>
      <c r="C58" s="11" t="s">
        <v>201</v>
      </c>
      <c r="D58" s="12" t="s">
        <v>202</v>
      </c>
      <c r="E58" s="13" t="s">
        <v>203</v>
      </c>
      <c r="F58" s="12">
        <v>2025.0</v>
      </c>
      <c r="G58" s="14" t="s">
        <v>21</v>
      </c>
      <c r="H58" s="9"/>
      <c r="I58" s="11" t="s">
        <v>204</v>
      </c>
      <c r="J58" s="17"/>
      <c r="K58" s="9" t="s">
        <v>23</v>
      </c>
      <c r="L58" s="9" t="s">
        <v>24</v>
      </c>
      <c r="M58" s="11" t="s">
        <v>25</v>
      </c>
      <c r="N58" s="11" t="s">
        <v>26</v>
      </c>
      <c r="O58" s="9" t="s">
        <v>27</v>
      </c>
      <c r="P58" s="15">
        <f t="shared" si="1"/>
        <v>0</v>
      </c>
      <c r="Q58" s="16">
        <f t="shared" si="2"/>
        <v>0</v>
      </c>
      <c r="R58" s="6"/>
      <c r="S58" s="6"/>
      <c r="T58" s="6"/>
      <c r="U58" s="6"/>
      <c r="V58" s="6"/>
      <c r="W58" s="6"/>
      <c r="X58" s="6"/>
      <c r="Y58" s="6"/>
    </row>
    <row r="59" ht="31.5" customHeight="1">
      <c r="A59" s="17">
        <v>57.0</v>
      </c>
      <c r="B59" s="10" t="s">
        <v>205</v>
      </c>
      <c r="C59" s="11" t="s">
        <v>206</v>
      </c>
      <c r="D59" s="12" t="s">
        <v>207</v>
      </c>
      <c r="E59" s="12"/>
      <c r="F59" s="12">
        <v>2024.0</v>
      </c>
      <c r="G59" s="14" t="s">
        <v>21</v>
      </c>
      <c r="H59" s="9"/>
      <c r="I59" s="11" t="s">
        <v>204</v>
      </c>
      <c r="J59" s="17"/>
      <c r="K59" s="9" t="s">
        <v>23</v>
      </c>
      <c r="L59" s="9" t="s">
        <v>24</v>
      </c>
      <c r="M59" s="11" t="s">
        <v>25</v>
      </c>
      <c r="N59" s="11" t="s">
        <v>26</v>
      </c>
      <c r="O59" s="9" t="s">
        <v>27</v>
      </c>
      <c r="P59" s="15">
        <f t="shared" si="1"/>
        <v>0</v>
      </c>
      <c r="Q59" s="16">
        <f t="shared" si="2"/>
        <v>0</v>
      </c>
      <c r="R59" s="6"/>
      <c r="S59" s="6"/>
      <c r="T59" s="6"/>
      <c r="U59" s="6"/>
      <c r="V59" s="6"/>
      <c r="W59" s="6"/>
      <c r="X59" s="6"/>
      <c r="Y59" s="6"/>
    </row>
    <row r="60" ht="31.5" customHeight="1">
      <c r="A60" s="17">
        <v>58.0</v>
      </c>
      <c r="B60" s="10" t="s">
        <v>208</v>
      </c>
      <c r="C60" s="11" t="s">
        <v>209</v>
      </c>
      <c r="D60" s="12" t="s">
        <v>210</v>
      </c>
      <c r="E60" s="12"/>
      <c r="F60" s="12">
        <v>2024.0</v>
      </c>
      <c r="G60" s="14" t="s">
        <v>21</v>
      </c>
      <c r="H60" s="9"/>
      <c r="I60" s="11" t="s">
        <v>204</v>
      </c>
      <c r="J60" s="17"/>
      <c r="K60" s="9" t="s">
        <v>23</v>
      </c>
      <c r="L60" s="9" t="s">
        <v>24</v>
      </c>
      <c r="M60" s="11" t="s">
        <v>25</v>
      </c>
      <c r="N60" s="11" t="s">
        <v>26</v>
      </c>
      <c r="O60" s="9" t="s">
        <v>27</v>
      </c>
      <c r="P60" s="15">
        <f t="shared" si="1"/>
        <v>0</v>
      </c>
      <c r="Q60" s="16">
        <f t="shared" si="2"/>
        <v>0</v>
      </c>
      <c r="R60" s="6"/>
      <c r="S60" s="6"/>
      <c r="T60" s="6"/>
      <c r="U60" s="6"/>
      <c r="V60" s="6"/>
      <c r="W60" s="6"/>
      <c r="X60" s="6"/>
      <c r="Y60" s="6"/>
    </row>
    <row r="61" ht="31.5" customHeight="1">
      <c r="A61" s="17">
        <v>59.0</v>
      </c>
      <c r="B61" s="10" t="s">
        <v>211</v>
      </c>
      <c r="C61" s="11" t="s">
        <v>212</v>
      </c>
      <c r="D61" s="12" t="s">
        <v>213</v>
      </c>
      <c r="E61" s="13" t="s">
        <v>34</v>
      </c>
      <c r="F61" s="12">
        <v>2024.0</v>
      </c>
      <c r="G61" s="14" t="s">
        <v>21</v>
      </c>
      <c r="H61" s="9"/>
      <c r="I61" s="11" t="s">
        <v>204</v>
      </c>
      <c r="J61" s="17"/>
      <c r="K61" s="9" t="s">
        <v>23</v>
      </c>
      <c r="L61" s="9" t="s">
        <v>24</v>
      </c>
      <c r="M61" s="11" t="s">
        <v>25</v>
      </c>
      <c r="N61" s="11" t="s">
        <v>26</v>
      </c>
      <c r="O61" s="9" t="s">
        <v>27</v>
      </c>
      <c r="P61" s="15">
        <f t="shared" si="1"/>
        <v>0</v>
      </c>
      <c r="Q61" s="16">
        <f t="shared" si="2"/>
        <v>0</v>
      </c>
      <c r="R61" s="6"/>
      <c r="S61" s="6"/>
      <c r="T61" s="6"/>
      <c r="U61" s="6"/>
      <c r="V61" s="6"/>
      <c r="W61" s="6"/>
      <c r="X61" s="6"/>
      <c r="Y61" s="6"/>
    </row>
    <row r="62" ht="31.5" customHeight="1">
      <c r="A62" s="17">
        <v>60.0</v>
      </c>
      <c r="B62" s="10" t="s">
        <v>214</v>
      </c>
      <c r="C62" s="11" t="s">
        <v>215</v>
      </c>
      <c r="D62" s="12" t="s">
        <v>216</v>
      </c>
      <c r="E62" s="13" t="s">
        <v>115</v>
      </c>
      <c r="F62" s="12">
        <v>2024.0</v>
      </c>
      <c r="G62" s="14" t="s">
        <v>21</v>
      </c>
      <c r="H62" s="9"/>
      <c r="I62" s="11" t="s">
        <v>204</v>
      </c>
      <c r="J62" s="17"/>
      <c r="K62" s="9" t="s">
        <v>23</v>
      </c>
      <c r="L62" s="9" t="s">
        <v>24</v>
      </c>
      <c r="M62" s="11" t="s">
        <v>25</v>
      </c>
      <c r="N62" s="11" t="s">
        <v>26</v>
      </c>
      <c r="O62" s="9" t="s">
        <v>27</v>
      </c>
      <c r="P62" s="15">
        <f t="shared" si="1"/>
        <v>0</v>
      </c>
      <c r="Q62" s="16">
        <f t="shared" si="2"/>
        <v>0</v>
      </c>
      <c r="R62" s="6"/>
      <c r="S62" s="6"/>
      <c r="T62" s="6"/>
      <c r="U62" s="6"/>
      <c r="V62" s="6"/>
      <c r="W62" s="6"/>
      <c r="X62" s="6"/>
      <c r="Y62" s="6"/>
    </row>
    <row r="63" ht="31.5" customHeight="1">
      <c r="A63" s="17">
        <v>61.0</v>
      </c>
      <c r="B63" s="10" t="s">
        <v>217</v>
      </c>
      <c r="C63" s="11" t="s">
        <v>218</v>
      </c>
      <c r="D63" s="12" t="s">
        <v>219</v>
      </c>
      <c r="E63" s="12"/>
      <c r="F63" s="12">
        <v>2024.0</v>
      </c>
      <c r="G63" s="14" t="s">
        <v>21</v>
      </c>
      <c r="H63" s="9"/>
      <c r="I63" s="11" t="s">
        <v>204</v>
      </c>
      <c r="J63" s="17"/>
      <c r="K63" s="9" t="s">
        <v>23</v>
      </c>
      <c r="L63" s="9" t="s">
        <v>24</v>
      </c>
      <c r="M63" s="11" t="s">
        <v>25</v>
      </c>
      <c r="N63" s="11" t="s">
        <v>26</v>
      </c>
      <c r="O63" s="9" t="s">
        <v>27</v>
      </c>
      <c r="P63" s="15">
        <f t="shared" si="1"/>
        <v>0</v>
      </c>
      <c r="Q63" s="16">
        <f t="shared" si="2"/>
        <v>0</v>
      </c>
      <c r="R63" s="6"/>
      <c r="S63" s="6"/>
      <c r="T63" s="6"/>
      <c r="U63" s="6"/>
      <c r="V63" s="6"/>
      <c r="W63" s="6"/>
      <c r="X63" s="6"/>
      <c r="Y63" s="6"/>
    </row>
    <row r="64" ht="31.5" customHeight="1">
      <c r="A64" s="17">
        <v>62.0</v>
      </c>
      <c r="B64" s="10" t="s">
        <v>220</v>
      </c>
      <c r="C64" s="11" t="s">
        <v>221</v>
      </c>
      <c r="D64" s="12" t="s">
        <v>222</v>
      </c>
      <c r="E64" s="12"/>
      <c r="F64" s="12">
        <v>2024.0</v>
      </c>
      <c r="G64" s="14" t="s">
        <v>21</v>
      </c>
      <c r="H64" s="9"/>
      <c r="I64" s="11" t="s">
        <v>204</v>
      </c>
      <c r="J64" s="17"/>
      <c r="K64" s="9" t="s">
        <v>23</v>
      </c>
      <c r="L64" s="9" t="s">
        <v>24</v>
      </c>
      <c r="M64" s="11" t="s">
        <v>25</v>
      </c>
      <c r="N64" s="11" t="s">
        <v>26</v>
      </c>
      <c r="O64" s="9" t="s">
        <v>27</v>
      </c>
      <c r="P64" s="15">
        <f t="shared" si="1"/>
        <v>0</v>
      </c>
      <c r="Q64" s="16">
        <f t="shared" si="2"/>
        <v>0</v>
      </c>
      <c r="R64" s="6"/>
      <c r="S64" s="6"/>
      <c r="T64" s="6"/>
      <c r="U64" s="6"/>
      <c r="V64" s="6"/>
      <c r="W64" s="6"/>
      <c r="X64" s="6"/>
      <c r="Y64" s="6"/>
    </row>
    <row r="65" ht="31.5" customHeight="1">
      <c r="A65" s="17">
        <v>63.0</v>
      </c>
      <c r="B65" s="10" t="s">
        <v>223</v>
      </c>
      <c r="C65" s="11" t="s">
        <v>113</v>
      </c>
      <c r="D65" s="12" t="s">
        <v>224</v>
      </c>
      <c r="E65" s="13" t="s">
        <v>115</v>
      </c>
      <c r="F65" s="12">
        <v>2024.0</v>
      </c>
      <c r="G65" s="14" t="s">
        <v>21</v>
      </c>
      <c r="H65" s="9"/>
      <c r="I65" s="11" t="s">
        <v>204</v>
      </c>
      <c r="J65" s="17"/>
      <c r="K65" s="9" t="s">
        <v>23</v>
      </c>
      <c r="L65" s="9" t="s">
        <v>24</v>
      </c>
      <c r="M65" s="11" t="s">
        <v>25</v>
      </c>
      <c r="N65" s="11" t="s">
        <v>26</v>
      </c>
      <c r="O65" s="9" t="s">
        <v>27</v>
      </c>
      <c r="P65" s="15">
        <f t="shared" si="1"/>
        <v>0</v>
      </c>
      <c r="Q65" s="16">
        <f t="shared" si="2"/>
        <v>0</v>
      </c>
      <c r="R65" s="6"/>
      <c r="S65" s="6"/>
      <c r="T65" s="6"/>
      <c r="U65" s="6"/>
      <c r="V65" s="6"/>
      <c r="W65" s="6"/>
      <c r="X65" s="6"/>
      <c r="Y65" s="6"/>
    </row>
    <row r="66" ht="31.5" customHeight="1">
      <c r="A66" s="17">
        <v>64.0</v>
      </c>
      <c r="B66" s="10" t="s">
        <v>225</v>
      </c>
      <c r="C66" s="11" t="s">
        <v>226</v>
      </c>
      <c r="D66" s="12" t="s">
        <v>227</v>
      </c>
      <c r="E66" s="13" t="s">
        <v>228</v>
      </c>
      <c r="F66" s="12">
        <v>2024.0</v>
      </c>
      <c r="G66" s="14" t="s">
        <v>21</v>
      </c>
      <c r="H66" s="9"/>
      <c r="I66" s="11" t="s">
        <v>204</v>
      </c>
      <c r="J66" s="17"/>
      <c r="K66" s="9" t="s">
        <v>23</v>
      </c>
      <c r="L66" s="9" t="s">
        <v>24</v>
      </c>
      <c r="M66" s="11" t="s">
        <v>25</v>
      </c>
      <c r="N66" s="11" t="s">
        <v>26</v>
      </c>
      <c r="O66" s="9" t="s">
        <v>27</v>
      </c>
      <c r="P66" s="15">
        <f t="shared" si="1"/>
        <v>0</v>
      </c>
      <c r="Q66" s="16">
        <f t="shared" si="2"/>
        <v>0</v>
      </c>
      <c r="R66" s="6"/>
      <c r="S66" s="6"/>
      <c r="T66" s="6"/>
      <c r="U66" s="6"/>
      <c r="V66" s="6"/>
      <c r="W66" s="6"/>
      <c r="X66" s="6"/>
      <c r="Y66" s="6"/>
    </row>
    <row r="67" ht="31.5" customHeight="1">
      <c r="A67" s="17">
        <v>65.0</v>
      </c>
      <c r="B67" s="10" t="s">
        <v>229</v>
      </c>
      <c r="C67" s="11" t="s">
        <v>226</v>
      </c>
      <c r="D67" s="12" t="s">
        <v>230</v>
      </c>
      <c r="E67" s="13" t="s">
        <v>228</v>
      </c>
      <c r="F67" s="12">
        <v>2024.0</v>
      </c>
      <c r="G67" s="14" t="s">
        <v>21</v>
      </c>
      <c r="H67" s="9"/>
      <c r="I67" s="11" t="s">
        <v>204</v>
      </c>
      <c r="J67" s="17"/>
      <c r="K67" s="9" t="s">
        <v>23</v>
      </c>
      <c r="L67" s="9" t="s">
        <v>24</v>
      </c>
      <c r="M67" s="11" t="s">
        <v>25</v>
      </c>
      <c r="N67" s="11" t="s">
        <v>26</v>
      </c>
      <c r="O67" s="9" t="s">
        <v>27</v>
      </c>
      <c r="P67" s="15">
        <f t="shared" si="1"/>
        <v>0</v>
      </c>
      <c r="Q67" s="16">
        <f t="shared" si="2"/>
        <v>0</v>
      </c>
      <c r="R67" s="6"/>
      <c r="S67" s="6"/>
      <c r="T67" s="6"/>
      <c r="U67" s="6"/>
      <c r="V67" s="6"/>
      <c r="W67" s="6"/>
      <c r="X67" s="6"/>
      <c r="Y67" s="6"/>
    </row>
    <row r="68" ht="31.5" customHeight="1">
      <c r="A68" s="17">
        <v>66.0</v>
      </c>
      <c r="B68" s="10" t="s">
        <v>231</v>
      </c>
      <c r="C68" s="11" t="s">
        <v>226</v>
      </c>
      <c r="D68" s="12" t="s">
        <v>232</v>
      </c>
      <c r="E68" s="13" t="s">
        <v>228</v>
      </c>
      <c r="F68" s="12">
        <v>2024.0</v>
      </c>
      <c r="G68" s="14" t="s">
        <v>21</v>
      </c>
      <c r="H68" s="9"/>
      <c r="I68" s="11" t="s">
        <v>204</v>
      </c>
      <c r="J68" s="17"/>
      <c r="K68" s="9" t="s">
        <v>23</v>
      </c>
      <c r="L68" s="9" t="s">
        <v>24</v>
      </c>
      <c r="M68" s="11" t="s">
        <v>25</v>
      </c>
      <c r="N68" s="11" t="s">
        <v>26</v>
      </c>
      <c r="O68" s="9" t="s">
        <v>27</v>
      </c>
      <c r="P68" s="15">
        <f t="shared" si="1"/>
        <v>0</v>
      </c>
      <c r="Q68" s="16">
        <f t="shared" si="2"/>
        <v>0</v>
      </c>
      <c r="R68" s="6"/>
      <c r="S68" s="6"/>
      <c r="T68" s="6"/>
      <c r="U68" s="6"/>
      <c r="V68" s="6"/>
      <c r="W68" s="6"/>
      <c r="X68" s="6"/>
      <c r="Y68" s="6"/>
    </row>
    <row r="69" ht="31.5" customHeight="1">
      <c r="A69" s="17">
        <v>67.0</v>
      </c>
      <c r="B69" s="10" t="s">
        <v>233</v>
      </c>
      <c r="C69" s="11" t="s">
        <v>226</v>
      </c>
      <c r="D69" s="12" t="s">
        <v>234</v>
      </c>
      <c r="E69" s="13" t="s">
        <v>228</v>
      </c>
      <c r="F69" s="12">
        <v>2024.0</v>
      </c>
      <c r="G69" s="14" t="s">
        <v>21</v>
      </c>
      <c r="H69" s="9"/>
      <c r="I69" s="11" t="s">
        <v>204</v>
      </c>
      <c r="J69" s="17"/>
      <c r="K69" s="9" t="s">
        <v>23</v>
      </c>
      <c r="L69" s="9" t="s">
        <v>24</v>
      </c>
      <c r="M69" s="11" t="s">
        <v>25</v>
      </c>
      <c r="N69" s="11" t="s">
        <v>26</v>
      </c>
      <c r="O69" s="9" t="s">
        <v>27</v>
      </c>
      <c r="P69" s="15">
        <f t="shared" si="1"/>
        <v>0</v>
      </c>
      <c r="Q69" s="16">
        <f t="shared" si="2"/>
        <v>0</v>
      </c>
      <c r="R69" s="6"/>
      <c r="S69" s="6"/>
      <c r="T69" s="6"/>
      <c r="U69" s="6"/>
      <c r="V69" s="6"/>
      <c r="W69" s="6"/>
      <c r="X69" s="6"/>
      <c r="Y69" s="6"/>
    </row>
    <row r="70" ht="31.5" customHeight="1">
      <c r="A70" s="17">
        <v>68.0</v>
      </c>
      <c r="B70" s="10" t="s">
        <v>235</v>
      </c>
      <c r="C70" s="11" t="s">
        <v>236</v>
      </c>
      <c r="D70" s="12" t="s">
        <v>237</v>
      </c>
      <c r="E70" s="12"/>
      <c r="F70" s="12">
        <v>2024.0</v>
      </c>
      <c r="G70" s="14" t="s">
        <v>21</v>
      </c>
      <c r="H70" s="9"/>
      <c r="I70" s="11" t="s">
        <v>204</v>
      </c>
      <c r="J70" s="17"/>
      <c r="K70" s="9" t="s">
        <v>23</v>
      </c>
      <c r="L70" s="9" t="s">
        <v>24</v>
      </c>
      <c r="M70" s="11" t="s">
        <v>25</v>
      </c>
      <c r="N70" s="11" t="s">
        <v>26</v>
      </c>
      <c r="O70" s="9" t="s">
        <v>27</v>
      </c>
      <c r="P70" s="15">
        <f t="shared" si="1"/>
        <v>0</v>
      </c>
      <c r="Q70" s="16">
        <f t="shared" si="2"/>
        <v>0</v>
      </c>
      <c r="R70" s="6"/>
      <c r="S70" s="6"/>
      <c r="T70" s="6"/>
      <c r="U70" s="6"/>
      <c r="V70" s="6"/>
      <c r="W70" s="6"/>
      <c r="X70" s="6"/>
      <c r="Y70" s="6"/>
    </row>
    <row r="71" ht="31.5" customHeight="1">
      <c r="A71" s="17">
        <v>69.0</v>
      </c>
      <c r="B71" s="10" t="s">
        <v>238</v>
      </c>
      <c r="C71" s="11" t="s">
        <v>239</v>
      </c>
      <c r="D71" s="12" t="s">
        <v>240</v>
      </c>
      <c r="E71" s="12"/>
      <c r="F71" s="12">
        <v>2024.0</v>
      </c>
      <c r="G71" s="14" t="s">
        <v>21</v>
      </c>
      <c r="H71" s="9"/>
      <c r="I71" s="11" t="s">
        <v>204</v>
      </c>
      <c r="J71" s="17"/>
      <c r="K71" s="9" t="s">
        <v>23</v>
      </c>
      <c r="L71" s="9" t="s">
        <v>24</v>
      </c>
      <c r="M71" s="11" t="s">
        <v>25</v>
      </c>
      <c r="N71" s="11" t="s">
        <v>26</v>
      </c>
      <c r="O71" s="9" t="s">
        <v>27</v>
      </c>
      <c r="P71" s="15">
        <f t="shared" si="1"/>
        <v>0</v>
      </c>
      <c r="Q71" s="16">
        <f t="shared" si="2"/>
        <v>0</v>
      </c>
      <c r="R71" s="6"/>
      <c r="S71" s="6"/>
      <c r="T71" s="6"/>
      <c r="U71" s="6"/>
      <c r="V71" s="6"/>
      <c r="W71" s="6"/>
      <c r="X71" s="6"/>
      <c r="Y71" s="6"/>
    </row>
    <row r="72" ht="31.5" customHeight="1">
      <c r="A72" s="17">
        <v>70.0</v>
      </c>
      <c r="B72" s="10" t="s">
        <v>241</v>
      </c>
      <c r="C72" s="11" t="s">
        <v>242</v>
      </c>
      <c r="D72" s="12" t="s">
        <v>243</v>
      </c>
      <c r="E72" s="13" t="s">
        <v>48</v>
      </c>
      <c r="F72" s="12">
        <v>2024.0</v>
      </c>
      <c r="G72" s="14" t="s">
        <v>21</v>
      </c>
      <c r="H72" s="9"/>
      <c r="I72" s="11" t="s">
        <v>204</v>
      </c>
      <c r="J72" s="17"/>
      <c r="K72" s="9" t="s">
        <v>23</v>
      </c>
      <c r="L72" s="9" t="s">
        <v>24</v>
      </c>
      <c r="M72" s="11" t="s">
        <v>25</v>
      </c>
      <c r="N72" s="11" t="s">
        <v>26</v>
      </c>
      <c r="O72" s="9" t="s">
        <v>27</v>
      </c>
      <c r="P72" s="15">
        <f t="shared" si="1"/>
        <v>0</v>
      </c>
      <c r="Q72" s="16">
        <f t="shared" si="2"/>
        <v>0</v>
      </c>
      <c r="R72" s="6"/>
      <c r="S72" s="6"/>
      <c r="T72" s="6"/>
      <c r="U72" s="6"/>
      <c r="V72" s="6"/>
      <c r="W72" s="6"/>
      <c r="X72" s="6"/>
      <c r="Y72" s="6"/>
    </row>
    <row r="73" ht="31.5" customHeight="1">
      <c r="A73" s="17">
        <v>71.0</v>
      </c>
      <c r="B73" s="10" t="s">
        <v>244</v>
      </c>
      <c r="C73" s="11" t="s">
        <v>245</v>
      </c>
      <c r="D73" s="12" t="s">
        <v>246</v>
      </c>
      <c r="E73" s="13" t="s">
        <v>102</v>
      </c>
      <c r="F73" s="12">
        <v>2024.0</v>
      </c>
      <c r="G73" s="14" t="s">
        <v>21</v>
      </c>
      <c r="H73" s="9"/>
      <c r="I73" s="11" t="s">
        <v>204</v>
      </c>
      <c r="J73" s="17"/>
      <c r="K73" s="9" t="s">
        <v>23</v>
      </c>
      <c r="L73" s="9" t="s">
        <v>24</v>
      </c>
      <c r="M73" s="11" t="s">
        <v>25</v>
      </c>
      <c r="N73" s="11" t="s">
        <v>26</v>
      </c>
      <c r="O73" s="9" t="s">
        <v>27</v>
      </c>
      <c r="P73" s="15">
        <f t="shared" si="1"/>
        <v>0</v>
      </c>
      <c r="Q73" s="16">
        <f t="shared" si="2"/>
        <v>0</v>
      </c>
      <c r="R73" s="6"/>
      <c r="S73" s="6"/>
      <c r="T73" s="6"/>
      <c r="U73" s="6"/>
      <c r="V73" s="6"/>
      <c r="W73" s="6"/>
      <c r="X73" s="6"/>
      <c r="Y73" s="6"/>
    </row>
    <row r="74" ht="31.5" customHeight="1">
      <c r="A74" s="17">
        <v>72.0</v>
      </c>
      <c r="B74" s="10" t="s">
        <v>247</v>
      </c>
      <c r="C74" s="11" t="s">
        <v>248</v>
      </c>
      <c r="D74" s="12" t="s">
        <v>249</v>
      </c>
      <c r="E74" s="12"/>
      <c r="F74" s="12">
        <v>2024.0</v>
      </c>
      <c r="G74" s="14" t="s">
        <v>21</v>
      </c>
      <c r="H74" s="9"/>
      <c r="I74" s="11" t="s">
        <v>204</v>
      </c>
      <c r="J74" s="17"/>
      <c r="K74" s="9" t="s">
        <v>23</v>
      </c>
      <c r="L74" s="9" t="s">
        <v>24</v>
      </c>
      <c r="M74" s="11" t="s">
        <v>25</v>
      </c>
      <c r="N74" s="11" t="s">
        <v>26</v>
      </c>
      <c r="O74" s="9" t="s">
        <v>27</v>
      </c>
      <c r="P74" s="15">
        <f t="shared" si="1"/>
        <v>0</v>
      </c>
      <c r="Q74" s="16">
        <f t="shared" si="2"/>
        <v>0</v>
      </c>
      <c r="R74" s="6"/>
      <c r="S74" s="6"/>
      <c r="T74" s="6"/>
      <c r="U74" s="6"/>
      <c r="V74" s="6"/>
      <c r="W74" s="6"/>
      <c r="X74" s="6"/>
      <c r="Y74" s="6"/>
    </row>
    <row r="75" ht="31.5" customHeight="1">
      <c r="A75" s="17">
        <v>73.0</v>
      </c>
      <c r="B75" s="10" t="s">
        <v>250</v>
      </c>
      <c r="C75" s="11" t="s">
        <v>251</v>
      </c>
      <c r="D75" s="12" t="s">
        <v>252</v>
      </c>
      <c r="E75" s="12"/>
      <c r="F75" s="12">
        <v>2024.0</v>
      </c>
      <c r="G75" s="14" t="s">
        <v>21</v>
      </c>
      <c r="H75" s="9"/>
      <c r="I75" s="11" t="s">
        <v>204</v>
      </c>
      <c r="J75" s="17"/>
      <c r="K75" s="9" t="s">
        <v>23</v>
      </c>
      <c r="L75" s="9" t="s">
        <v>24</v>
      </c>
      <c r="M75" s="11" t="s">
        <v>25</v>
      </c>
      <c r="N75" s="11" t="s">
        <v>26</v>
      </c>
      <c r="O75" s="9" t="s">
        <v>27</v>
      </c>
      <c r="P75" s="15">
        <f t="shared" si="1"/>
        <v>0</v>
      </c>
      <c r="Q75" s="16">
        <f t="shared" si="2"/>
        <v>0</v>
      </c>
      <c r="R75" s="6"/>
      <c r="S75" s="6"/>
      <c r="T75" s="6"/>
      <c r="U75" s="6"/>
      <c r="V75" s="6"/>
      <c r="W75" s="6"/>
      <c r="X75" s="6"/>
      <c r="Y75" s="6"/>
    </row>
    <row r="76" ht="31.5" customHeight="1">
      <c r="A76" s="17">
        <v>74.0</v>
      </c>
      <c r="B76" s="10" t="s">
        <v>253</v>
      </c>
      <c r="C76" s="11" t="s">
        <v>254</v>
      </c>
      <c r="D76" s="12" t="s">
        <v>255</v>
      </c>
      <c r="E76" s="12"/>
      <c r="F76" s="12">
        <v>2024.0</v>
      </c>
      <c r="G76" s="14" t="s">
        <v>21</v>
      </c>
      <c r="H76" s="9"/>
      <c r="I76" s="11" t="s">
        <v>204</v>
      </c>
      <c r="J76" s="17"/>
      <c r="K76" s="9" t="s">
        <v>23</v>
      </c>
      <c r="L76" s="9" t="s">
        <v>24</v>
      </c>
      <c r="M76" s="11" t="s">
        <v>25</v>
      </c>
      <c r="N76" s="11" t="s">
        <v>26</v>
      </c>
      <c r="O76" s="9" t="s">
        <v>27</v>
      </c>
      <c r="P76" s="15">
        <f t="shared" si="1"/>
        <v>0</v>
      </c>
      <c r="Q76" s="16">
        <f t="shared" si="2"/>
        <v>0</v>
      </c>
      <c r="R76" s="6"/>
      <c r="S76" s="6"/>
      <c r="T76" s="6"/>
      <c r="U76" s="6"/>
      <c r="V76" s="6"/>
      <c r="W76" s="6"/>
      <c r="X76" s="6"/>
      <c r="Y76" s="6"/>
    </row>
    <row r="77" ht="31.5" customHeight="1">
      <c r="A77" s="17">
        <v>75.0</v>
      </c>
      <c r="B77" s="10" t="s">
        <v>256</v>
      </c>
      <c r="C77" s="11" t="s">
        <v>175</v>
      </c>
      <c r="D77" s="12" t="s">
        <v>257</v>
      </c>
      <c r="E77" s="12"/>
      <c r="F77" s="12">
        <v>2024.0</v>
      </c>
      <c r="G77" s="14" t="s">
        <v>21</v>
      </c>
      <c r="H77" s="9"/>
      <c r="I77" s="11" t="s">
        <v>204</v>
      </c>
      <c r="J77" s="17"/>
      <c r="K77" s="9" t="s">
        <v>23</v>
      </c>
      <c r="L77" s="9" t="s">
        <v>24</v>
      </c>
      <c r="M77" s="11" t="s">
        <v>25</v>
      </c>
      <c r="N77" s="11" t="s">
        <v>26</v>
      </c>
      <c r="O77" s="9" t="s">
        <v>27</v>
      </c>
      <c r="P77" s="15">
        <f t="shared" si="1"/>
        <v>0</v>
      </c>
      <c r="Q77" s="16">
        <f t="shared" si="2"/>
        <v>0</v>
      </c>
      <c r="R77" s="6"/>
      <c r="S77" s="6"/>
      <c r="T77" s="6"/>
      <c r="U77" s="6"/>
      <c r="V77" s="6"/>
      <c r="W77" s="6"/>
      <c r="X77" s="6"/>
      <c r="Y77" s="6"/>
    </row>
    <row r="78" ht="31.5" customHeight="1">
      <c r="A78" s="17">
        <v>76.0</v>
      </c>
      <c r="B78" s="10" t="s">
        <v>258</v>
      </c>
      <c r="C78" s="11" t="s">
        <v>259</v>
      </c>
      <c r="D78" s="12" t="s">
        <v>260</v>
      </c>
      <c r="E78" s="12"/>
      <c r="F78" s="12">
        <v>2024.0</v>
      </c>
      <c r="G78" s="14" t="s">
        <v>21</v>
      </c>
      <c r="H78" s="9"/>
      <c r="I78" s="11" t="s">
        <v>204</v>
      </c>
      <c r="J78" s="17"/>
      <c r="K78" s="9" t="s">
        <v>23</v>
      </c>
      <c r="L78" s="9" t="s">
        <v>24</v>
      </c>
      <c r="M78" s="11" t="s">
        <v>25</v>
      </c>
      <c r="N78" s="11" t="s">
        <v>26</v>
      </c>
      <c r="O78" s="9" t="s">
        <v>27</v>
      </c>
      <c r="P78" s="15">
        <f t="shared" si="1"/>
        <v>0</v>
      </c>
      <c r="Q78" s="16">
        <f t="shared" si="2"/>
        <v>0</v>
      </c>
      <c r="R78" s="6"/>
      <c r="S78" s="6"/>
      <c r="T78" s="6"/>
      <c r="U78" s="6"/>
      <c r="V78" s="6"/>
      <c r="W78" s="6"/>
      <c r="X78" s="6"/>
      <c r="Y78" s="6"/>
    </row>
    <row r="79" ht="31.5" customHeight="1">
      <c r="A79" s="17">
        <v>77.0</v>
      </c>
      <c r="B79" s="10" t="s">
        <v>261</v>
      </c>
      <c r="C79" s="11" t="s">
        <v>262</v>
      </c>
      <c r="D79" s="12" t="s">
        <v>263</v>
      </c>
      <c r="E79" s="12"/>
      <c r="F79" s="12">
        <v>2024.0</v>
      </c>
      <c r="G79" s="14" t="s">
        <v>21</v>
      </c>
      <c r="H79" s="9"/>
      <c r="I79" s="11" t="s">
        <v>204</v>
      </c>
      <c r="J79" s="17"/>
      <c r="K79" s="9" t="s">
        <v>23</v>
      </c>
      <c r="L79" s="9" t="s">
        <v>24</v>
      </c>
      <c r="M79" s="11" t="s">
        <v>25</v>
      </c>
      <c r="N79" s="11" t="s">
        <v>26</v>
      </c>
      <c r="O79" s="9" t="s">
        <v>27</v>
      </c>
      <c r="P79" s="15">
        <f t="shared" si="1"/>
        <v>0</v>
      </c>
      <c r="Q79" s="16">
        <f t="shared" si="2"/>
        <v>0</v>
      </c>
      <c r="R79" s="6"/>
      <c r="S79" s="6"/>
      <c r="T79" s="6"/>
      <c r="U79" s="6"/>
      <c r="V79" s="6"/>
      <c r="W79" s="6"/>
      <c r="X79" s="6"/>
      <c r="Y79" s="6"/>
    </row>
    <row r="80" ht="31.5" customHeight="1">
      <c r="A80" s="17">
        <v>78.0</v>
      </c>
      <c r="B80" s="10" t="s">
        <v>264</v>
      </c>
      <c r="C80" s="11" t="s">
        <v>265</v>
      </c>
      <c r="D80" s="12" t="s">
        <v>266</v>
      </c>
      <c r="E80" s="13" t="s">
        <v>95</v>
      </c>
      <c r="F80" s="12">
        <v>2024.0</v>
      </c>
      <c r="G80" s="14" t="s">
        <v>21</v>
      </c>
      <c r="H80" s="9"/>
      <c r="I80" s="11" t="s">
        <v>204</v>
      </c>
      <c r="J80" s="17"/>
      <c r="K80" s="9" t="s">
        <v>23</v>
      </c>
      <c r="L80" s="9" t="s">
        <v>24</v>
      </c>
      <c r="M80" s="11" t="s">
        <v>25</v>
      </c>
      <c r="N80" s="11" t="s">
        <v>26</v>
      </c>
      <c r="O80" s="9" t="s">
        <v>27</v>
      </c>
      <c r="P80" s="15">
        <f t="shared" si="1"/>
        <v>0</v>
      </c>
      <c r="Q80" s="16">
        <f t="shared" si="2"/>
        <v>0</v>
      </c>
      <c r="R80" s="6"/>
      <c r="S80" s="6"/>
      <c r="T80" s="6"/>
      <c r="U80" s="6"/>
      <c r="V80" s="6"/>
      <c r="W80" s="6"/>
      <c r="X80" s="6"/>
      <c r="Y80" s="6"/>
    </row>
    <row r="81" ht="31.5" customHeight="1">
      <c r="A81" s="17">
        <v>79.0</v>
      </c>
      <c r="B81" s="10" t="s">
        <v>267</v>
      </c>
      <c r="C81" s="11" t="s">
        <v>268</v>
      </c>
      <c r="D81" s="12" t="s">
        <v>269</v>
      </c>
      <c r="E81" s="12"/>
      <c r="F81" s="12">
        <v>2024.0</v>
      </c>
      <c r="G81" s="14" t="s">
        <v>21</v>
      </c>
      <c r="H81" s="9"/>
      <c r="I81" s="11" t="s">
        <v>204</v>
      </c>
      <c r="J81" s="17"/>
      <c r="K81" s="9" t="s">
        <v>23</v>
      </c>
      <c r="L81" s="9" t="s">
        <v>24</v>
      </c>
      <c r="M81" s="11" t="s">
        <v>25</v>
      </c>
      <c r="N81" s="11" t="s">
        <v>26</v>
      </c>
      <c r="O81" s="9" t="s">
        <v>27</v>
      </c>
      <c r="P81" s="15">
        <f t="shared" si="1"/>
        <v>0</v>
      </c>
      <c r="Q81" s="16">
        <f t="shared" si="2"/>
        <v>0</v>
      </c>
      <c r="R81" s="6"/>
      <c r="S81" s="6"/>
      <c r="T81" s="6"/>
      <c r="U81" s="6"/>
      <c r="V81" s="6"/>
      <c r="W81" s="6"/>
      <c r="X81" s="6"/>
      <c r="Y81" s="6"/>
    </row>
    <row r="82" ht="31.5" customHeight="1">
      <c r="A82" s="17">
        <v>80.0</v>
      </c>
      <c r="B82" s="10" t="s">
        <v>270</v>
      </c>
      <c r="C82" s="11" t="s">
        <v>271</v>
      </c>
      <c r="D82" s="12" t="s">
        <v>272</v>
      </c>
      <c r="E82" s="13" t="s">
        <v>102</v>
      </c>
      <c r="F82" s="12">
        <v>2024.0</v>
      </c>
      <c r="G82" s="14" t="s">
        <v>21</v>
      </c>
      <c r="H82" s="9"/>
      <c r="I82" s="11" t="s">
        <v>204</v>
      </c>
      <c r="J82" s="17"/>
      <c r="K82" s="9" t="s">
        <v>23</v>
      </c>
      <c r="L82" s="9" t="s">
        <v>24</v>
      </c>
      <c r="M82" s="11" t="s">
        <v>25</v>
      </c>
      <c r="N82" s="11" t="s">
        <v>26</v>
      </c>
      <c r="O82" s="9" t="s">
        <v>27</v>
      </c>
      <c r="P82" s="15">
        <f t="shared" si="1"/>
        <v>0</v>
      </c>
      <c r="Q82" s="16">
        <f t="shared" si="2"/>
        <v>0</v>
      </c>
      <c r="R82" s="6"/>
      <c r="S82" s="6"/>
      <c r="T82" s="6"/>
      <c r="U82" s="6"/>
      <c r="V82" s="6"/>
      <c r="W82" s="6"/>
      <c r="X82" s="6"/>
      <c r="Y82" s="6"/>
    </row>
    <row r="83" ht="31.5" customHeight="1">
      <c r="A83" s="17">
        <v>81.0</v>
      </c>
      <c r="B83" s="10" t="s">
        <v>273</v>
      </c>
      <c r="C83" s="11" t="s">
        <v>274</v>
      </c>
      <c r="D83" s="12" t="s">
        <v>275</v>
      </c>
      <c r="E83" s="12"/>
      <c r="F83" s="12">
        <v>2024.0</v>
      </c>
      <c r="G83" s="14" t="s">
        <v>21</v>
      </c>
      <c r="H83" s="9"/>
      <c r="I83" s="11" t="s">
        <v>204</v>
      </c>
      <c r="J83" s="17"/>
      <c r="K83" s="9" t="s">
        <v>23</v>
      </c>
      <c r="L83" s="9" t="s">
        <v>24</v>
      </c>
      <c r="M83" s="11" t="s">
        <v>25</v>
      </c>
      <c r="N83" s="11" t="s">
        <v>26</v>
      </c>
      <c r="O83" s="9" t="s">
        <v>27</v>
      </c>
      <c r="P83" s="15">
        <f t="shared" si="1"/>
        <v>0</v>
      </c>
      <c r="Q83" s="16">
        <f t="shared" si="2"/>
        <v>0</v>
      </c>
      <c r="R83" s="6"/>
      <c r="S83" s="6"/>
      <c r="T83" s="6"/>
      <c r="U83" s="6"/>
      <c r="V83" s="6"/>
      <c r="W83" s="6"/>
      <c r="X83" s="6"/>
      <c r="Y83" s="6"/>
    </row>
    <row r="84" ht="31.5" customHeight="1">
      <c r="A84" s="17">
        <v>82.0</v>
      </c>
      <c r="B84" s="10" t="s">
        <v>276</v>
      </c>
      <c r="C84" s="11" t="s">
        <v>277</v>
      </c>
      <c r="D84" s="12" t="s">
        <v>278</v>
      </c>
      <c r="E84" s="13" t="s">
        <v>95</v>
      </c>
      <c r="F84" s="12">
        <v>2024.0</v>
      </c>
      <c r="G84" s="14" t="s">
        <v>21</v>
      </c>
      <c r="H84" s="9"/>
      <c r="I84" s="11" t="s">
        <v>204</v>
      </c>
      <c r="J84" s="17"/>
      <c r="K84" s="9" t="s">
        <v>23</v>
      </c>
      <c r="L84" s="9" t="s">
        <v>24</v>
      </c>
      <c r="M84" s="11" t="s">
        <v>25</v>
      </c>
      <c r="N84" s="11" t="s">
        <v>26</v>
      </c>
      <c r="O84" s="9" t="s">
        <v>27</v>
      </c>
      <c r="P84" s="15">
        <f t="shared" si="1"/>
        <v>0</v>
      </c>
      <c r="Q84" s="16">
        <f t="shared" si="2"/>
        <v>0</v>
      </c>
      <c r="R84" s="6"/>
      <c r="S84" s="6"/>
      <c r="T84" s="6"/>
      <c r="U84" s="6"/>
      <c r="V84" s="6"/>
      <c r="W84" s="6"/>
      <c r="X84" s="6"/>
      <c r="Y84" s="6"/>
    </row>
    <row r="85" ht="31.5" customHeight="1">
      <c r="A85" s="17">
        <v>83.0</v>
      </c>
      <c r="B85" s="10" t="s">
        <v>279</v>
      </c>
      <c r="C85" s="11" t="s">
        <v>280</v>
      </c>
      <c r="D85" s="12" t="s">
        <v>281</v>
      </c>
      <c r="E85" s="13" t="s">
        <v>95</v>
      </c>
      <c r="F85" s="12">
        <v>2024.0</v>
      </c>
      <c r="G85" s="14" t="s">
        <v>21</v>
      </c>
      <c r="H85" s="9"/>
      <c r="I85" s="11" t="s">
        <v>204</v>
      </c>
      <c r="J85" s="17"/>
      <c r="K85" s="9" t="s">
        <v>23</v>
      </c>
      <c r="L85" s="9" t="s">
        <v>24</v>
      </c>
      <c r="M85" s="11" t="s">
        <v>25</v>
      </c>
      <c r="N85" s="11" t="s">
        <v>26</v>
      </c>
      <c r="O85" s="9" t="s">
        <v>27</v>
      </c>
      <c r="P85" s="15">
        <f t="shared" si="1"/>
        <v>0</v>
      </c>
      <c r="Q85" s="16">
        <f t="shared" si="2"/>
        <v>0</v>
      </c>
      <c r="R85" s="6"/>
      <c r="S85" s="6"/>
      <c r="T85" s="6"/>
      <c r="U85" s="6"/>
      <c r="V85" s="6"/>
      <c r="W85" s="6"/>
      <c r="X85" s="6"/>
      <c r="Y85" s="6"/>
    </row>
    <row r="86" ht="31.5" customHeight="1">
      <c r="A86" s="17">
        <v>84.0</v>
      </c>
      <c r="B86" s="10" t="s">
        <v>282</v>
      </c>
      <c r="C86" s="11" t="s">
        <v>283</v>
      </c>
      <c r="D86" s="12" t="s">
        <v>284</v>
      </c>
      <c r="E86" s="12"/>
      <c r="F86" s="12">
        <v>2024.0</v>
      </c>
      <c r="G86" s="14" t="s">
        <v>21</v>
      </c>
      <c r="H86" s="9"/>
      <c r="I86" s="11" t="s">
        <v>204</v>
      </c>
      <c r="J86" s="17"/>
      <c r="K86" s="9" t="s">
        <v>23</v>
      </c>
      <c r="L86" s="9" t="s">
        <v>24</v>
      </c>
      <c r="M86" s="11" t="s">
        <v>25</v>
      </c>
      <c r="N86" s="11" t="s">
        <v>26</v>
      </c>
      <c r="O86" s="9" t="s">
        <v>27</v>
      </c>
      <c r="P86" s="15">
        <f t="shared" si="1"/>
        <v>0</v>
      </c>
      <c r="Q86" s="16">
        <f t="shared" si="2"/>
        <v>0</v>
      </c>
      <c r="R86" s="6"/>
      <c r="S86" s="6"/>
      <c r="T86" s="6"/>
      <c r="U86" s="6"/>
      <c r="V86" s="6"/>
      <c r="W86" s="6"/>
      <c r="X86" s="6"/>
      <c r="Y86" s="6"/>
    </row>
    <row r="87" ht="31.5" customHeight="1">
      <c r="A87" s="17">
        <v>85.0</v>
      </c>
      <c r="B87" s="10" t="s">
        <v>285</v>
      </c>
      <c r="C87" s="11" t="s">
        <v>286</v>
      </c>
      <c r="D87" s="12" t="s">
        <v>287</v>
      </c>
      <c r="E87" s="12"/>
      <c r="F87" s="12">
        <v>2024.0</v>
      </c>
      <c r="G87" s="14" t="s">
        <v>21</v>
      </c>
      <c r="H87" s="9"/>
      <c r="I87" s="11" t="s">
        <v>204</v>
      </c>
      <c r="J87" s="17"/>
      <c r="K87" s="9" t="s">
        <v>23</v>
      </c>
      <c r="L87" s="9" t="s">
        <v>24</v>
      </c>
      <c r="M87" s="11" t="s">
        <v>25</v>
      </c>
      <c r="N87" s="11" t="s">
        <v>26</v>
      </c>
      <c r="O87" s="9" t="s">
        <v>27</v>
      </c>
      <c r="P87" s="15">
        <f t="shared" si="1"/>
        <v>0</v>
      </c>
      <c r="Q87" s="16">
        <f t="shared" si="2"/>
        <v>0</v>
      </c>
      <c r="R87" s="6"/>
      <c r="S87" s="6"/>
      <c r="T87" s="6"/>
      <c r="U87" s="6"/>
      <c r="V87" s="6"/>
      <c r="W87" s="6"/>
      <c r="X87" s="6"/>
      <c r="Y87" s="6"/>
    </row>
    <row r="88" ht="31.5" customHeight="1">
      <c r="A88" s="17">
        <v>86.0</v>
      </c>
      <c r="B88" s="10" t="s">
        <v>288</v>
      </c>
      <c r="C88" s="11" t="s">
        <v>289</v>
      </c>
      <c r="D88" s="12" t="s">
        <v>290</v>
      </c>
      <c r="E88" s="13" t="s">
        <v>228</v>
      </c>
      <c r="F88" s="12">
        <v>2024.0</v>
      </c>
      <c r="G88" s="14" t="s">
        <v>21</v>
      </c>
      <c r="H88" s="9"/>
      <c r="I88" s="11" t="s">
        <v>204</v>
      </c>
      <c r="J88" s="17"/>
      <c r="K88" s="9" t="s">
        <v>23</v>
      </c>
      <c r="L88" s="9" t="s">
        <v>24</v>
      </c>
      <c r="M88" s="11" t="s">
        <v>25</v>
      </c>
      <c r="N88" s="11" t="s">
        <v>26</v>
      </c>
      <c r="O88" s="9" t="s">
        <v>27</v>
      </c>
      <c r="P88" s="15">
        <f t="shared" si="1"/>
        <v>0</v>
      </c>
      <c r="Q88" s="16">
        <f t="shared" si="2"/>
        <v>0</v>
      </c>
      <c r="R88" s="6"/>
      <c r="S88" s="6"/>
      <c r="T88" s="6"/>
      <c r="U88" s="6"/>
      <c r="V88" s="6"/>
      <c r="W88" s="6"/>
      <c r="X88" s="6"/>
      <c r="Y88" s="6"/>
    </row>
    <row r="89" ht="31.5" customHeight="1">
      <c r="A89" s="17">
        <v>87.0</v>
      </c>
      <c r="B89" s="10" t="s">
        <v>291</v>
      </c>
      <c r="C89" s="11" t="s">
        <v>292</v>
      </c>
      <c r="D89" s="12" t="s">
        <v>293</v>
      </c>
      <c r="E89" s="12"/>
      <c r="F89" s="12">
        <v>2024.0</v>
      </c>
      <c r="G89" s="14" t="s">
        <v>21</v>
      </c>
      <c r="H89" s="9"/>
      <c r="I89" s="11" t="s">
        <v>204</v>
      </c>
      <c r="J89" s="17"/>
      <c r="K89" s="9" t="s">
        <v>23</v>
      </c>
      <c r="L89" s="9" t="s">
        <v>24</v>
      </c>
      <c r="M89" s="11" t="s">
        <v>25</v>
      </c>
      <c r="N89" s="11" t="s">
        <v>26</v>
      </c>
      <c r="O89" s="9" t="s">
        <v>27</v>
      </c>
      <c r="P89" s="15">
        <f t="shared" si="1"/>
        <v>0</v>
      </c>
      <c r="Q89" s="16">
        <f t="shared" si="2"/>
        <v>0</v>
      </c>
      <c r="R89" s="6"/>
      <c r="S89" s="6"/>
      <c r="T89" s="6"/>
      <c r="U89" s="6"/>
      <c r="V89" s="6"/>
      <c r="W89" s="6"/>
      <c r="X89" s="6"/>
      <c r="Y89" s="6"/>
    </row>
    <row r="90" ht="31.5" customHeight="1">
      <c r="A90" s="17">
        <v>88.0</v>
      </c>
      <c r="B90" s="10" t="s">
        <v>294</v>
      </c>
      <c r="C90" s="11" t="s">
        <v>295</v>
      </c>
      <c r="D90" s="12" t="s">
        <v>296</v>
      </c>
      <c r="E90" s="13" t="s">
        <v>102</v>
      </c>
      <c r="F90" s="12">
        <v>2024.0</v>
      </c>
      <c r="G90" s="14" t="s">
        <v>21</v>
      </c>
      <c r="H90" s="9"/>
      <c r="I90" s="11" t="s">
        <v>204</v>
      </c>
      <c r="J90" s="17"/>
      <c r="K90" s="9" t="s">
        <v>23</v>
      </c>
      <c r="L90" s="9" t="s">
        <v>24</v>
      </c>
      <c r="M90" s="11" t="s">
        <v>25</v>
      </c>
      <c r="N90" s="11" t="s">
        <v>26</v>
      </c>
      <c r="O90" s="9" t="s">
        <v>27</v>
      </c>
      <c r="P90" s="15">
        <f t="shared" si="1"/>
        <v>0</v>
      </c>
      <c r="Q90" s="16">
        <f t="shared" si="2"/>
        <v>0</v>
      </c>
      <c r="R90" s="6"/>
      <c r="S90" s="6"/>
      <c r="T90" s="6"/>
      <c r="U90" s="6"/>
      <c r="V90" s="6"/>
      <c r="W90" s="6"/>
      <c r="X90" s="6"/>
      <c r="Y90" s="6"/>
    </row>
    <row r="91" ht="31.5" customHeight="1">
      <c r="A91" s="17">
        <v>89.0</v>
      </c>
      <c r="B91" s="10" t="s">
        <v>297</v>
      </c>
      <c r="C91" s="11" t="s">
        <v>298</v>
      </c>
      <c r="D91" s="12" t="s">
        <v>299</v>
      </c>
      <c r="E91" s="12"/>
      <c r="F91" s="12">
        <v>2024.0</v>
      </c>
      <c r="G91" s="14" t="s">
        <v>21</v>
      </c>
      <c r="H91" s="9"/>
      <c r="I91" s="11" t="s">
        <v>204</v>
      </c>
      <c r="J91" s="17"/>
      <c r="K91" s="9" t="s">
        <v>23</v>
      </c>
      <c r="L91" s="9" t="s">
        <v>24</v>
      </c>
      <c r="M91" s="11" t="s">
        <v>25</v>
      </c>
      <c r="N91" s="11" t="s">
        <v>26</v>
      </c>
      <c r="O91" s="9" t="s">
        <v>27</v>
      </c>
      <c r="P91" s="15">
        <f t="shared" si="1"/>
        <v>0</v>
      </c>
      <c r="Q91" s="16">
        <f t="shared" si="2"/>
        <v>0</v>
      </c>
      <c r="R91" s="6"/>
      <c r="S91" s="6"/>
      <c r="T91" s="6"/>
      <c r="U91" s="6"/>
      <c r="V91" s="6"/>
      <c r="W91" s="6"/>
      <c r="X91" s="6"/>
      <c r="Y91" s="6"/>
    </row>
    <row r="92" ht="31.5" customHeight="1">
      <c r="A92" s="17">
        <v>90.0</v>
      </c>
      <c r="B92" s="10" t="s">
        <v>300</v>
      </c>
      <c r="C92" s="11" t="s">
        <v>301</v>
      </c>
      <c r="D92" s="12" t="s">
        <v>302</v>
      </c>
      <c r="E92" s="13" t="s">
        <v>48</v>
      </c>
      <c r="F92" s="12">
        <v>2024.0</v>
      </c>
      <c r="G92" s="14" t="s">
        <v>21</v>
      </c>
      <c r="H92" s="9"/>
      <c r="I92" s="11" t="s">
        <v>204</v>
      </c>
      <c r="J92" s="17"/>
      <c r="K92" s="9" t="s">
        <v>23</v>
      </c>
      <c r="L92" s="9" t="s">
        <v>24</v>
      </c>
      <c r="M92" s="11" t="s">
        <v>25</v>
      </c>
      <c r="N92" s="11" t="s">
        <v>26</v>
      </c>
      <c r="O92" s="9" t="s">
        <v>27</v>
      </c>
      <c r="P92" s="15">
        <f t="shared" si="1"/>
        <v>0</v>
      </c>
      <c r="Q92" s="16">
        <f t="shared" si="2"/>
        <v>0</v>
      </c>
      <c r="R92" s="6"/>
      <c r="S92" s="6"/>
      <c r="T92" s="6"/>
      <c r="U92" s="6"/>
      <c r="V92" s="6"/>
      <c r="W92" s="6"/>
      <c r="X92" s="6"/>
      <c r="Y92" s="6"/>
    </row>
    <row r="93" ht="31.5" customHeight="1">
      <c r="A93" s="17">
        <v>91.0</v>
      </c>
      <c r="B93" s="10" t="s">
        <v>303</v>
      </c>
      <c r="C93" s="11" t="s">
        <v>304</v>
      </c>
      <c r="D93" s="12" t="s">
        <v>305</v>
      </c>
      <c r="E93" s="12"/>
      <c r="F93" s="12">
        <v>2023.0</v>
      </c>
      <c r="G93" s="14" t="s">
        <v>21</v>
      </c>
      <c r="H93" s="9"/>
      <c r="I93" s="11" t="s">
        <v>204</v>
      </c>
      <c r="J93" s="17"/>
      <c r="K93" s="9" t="s">
        <v>23</v>
      </c>
      <c r="L93" s="9" t="s">
        <v>24</v>
      </c>
      <c r="M93" s="11" t="s">
        <v>25</v>
      </c>
      <c r="N93" s="11" t="s">
        <v>26</v>
      </c>
      <c r="O93" s="9" t="s">
        <v>27</v>
      </c>
      <c r="P93" s="15">
        <f t="shared" si="1"/>
        <v>0</v>
      </c>
      <c r="Q93" s="16">
        <f t="shared" si="2"/>
        <v>0</v>
      </c>
      <c r="R93" s="6"/>
      <c r="S93" s="6"/>
      <c r="T93" s="6"/>
      <c r="U93" s="6"/>
      <c r="V93" s="6"/>
      <c r="W93" s="6"/>
      <c r="X93" s="6"/>
      <c r="Y93" s="6"/>
    </row>
    <row r="94" ht="31.5" customHeight="1">
      <c r="A94" s="17">
        <v>92.0</v>
      </c>
      <c r="B94" s="10" t="s">
        <v>306</v>
      </c>
      <c r="C94" s="11" t="s">
        <v>307</v>
      </c>
      <c r="D94" s="12" t="s">
        <v>308</v>
      </c>
      <c r="E94" s="12"/>
      <c r="F94" s="12">
        <v>2024.0</v>
      </c>
      <c r="G94" s="14" t="s">
        <v>21</v>
      </c>
      <c r="H94" s="9"/>
      <c r="I94" s="11" t="s">
        <v>204</v>
      </c>
      <c r="J94" s="17"/>
      <c r="K94" s="9" t="s">
        <v>23</v>
      </c>
      <c r="L94" s="9" t="s">
        <v>24</v>
      </c>
      <c r="M94" s="11" t="s">
        <v>25</v>
      </c>
      <c r="N94" s="11" t="s">
        <v>26</v>
      </c>
      <c r="O94" s="9" t="s">
        <v>27</v>
      </c>
      <c r="P94" s="15">
        <f t="shared" si="1"/>
        <v>0</v>
      </c>
      <c r="Q94" s="16">
        <f t="shared" si="2"/>
        <v>0</v>
      </c>
      <c r="R94" s="6"/>
      <c r="S94" s="6"/>
      <c r="T94" s="6"/>
      <c r="U94" s="6"/>
      <c r="V94" s="6"/>
      <c r="W94" s="6"/>
      <c r="X94" s="6"/>
      <c r="Y94" s="6"/>
    </row>
    <row r="95" ht="31.5" customHeight="1">
      <c r="A95" s="17">
        <v>93.0</v>
      </c>
      <c r="B95" s="10" t="s">
        <v>309</v>
      </c>
      <c r="C95" s="11" t="s">
        <v>310</v>
      </c>
      <c r="D95" s="12" t="s">
        <v>311</v>
      </c>
      <c r="E95" s="12"/>
      <c r="F95" s="12">
        <v>2024.0</v>
      </c>
      <c r="G95" s="14" t="s">
        <v>21</v>
      </c>
      <c r="H95" s="9"/>
      <c r="I95" s="11" t="s">
        <v>74</v>
      </c>
      <c r="J95" s="9">
        <v>150.0</v>
      </c>
      <c r="K95" s="9" t="s">
        <v>23</v>
      </c>
      <c r="L95" s="9" t="s">
        <v>24</v>
      </c>
      <c r="M95" s="11" t="s">
        <v>25</v>
      </c>
      <c r="N95" s="11" t="s">
        <v>26</v>
      </c>
      <c r="O95" s="9" t="s">
        <v>27</v>
      </c>
      <c r="P95" s="15">
        <f t="shared" si="1"/>
        <v>35000</v>
      </c>
      <c r="Q95" s="16">
        <f t="shared" si="2"/>
        <v>70000</v>
      </c>
      <c r="R95" s="6"/>
      <c r="S95" s="6"/>
      <c r="T95" s="6"/>
      <c r="U95" s="6"/>
      <c r="V95" s="6"/>
      <c r="W95" s="6"/>
      <c r="X95" s="6"/>
      <c r="Y95" s="6"/>
    </row>
    <row r="96" ht="31.5" customHeight="1">
      <c r="A96" s="17">
        <v>94.0</v>
      </c>
      <c r="B96" s="10" t="s">
        <v>312</v>
      </c>
      <c r="C96" s="11" t="s">
        <v>313</v>
      </c>
      <c r="D96" s="12" t="s">
        <v>314</v>
      </c>
      <c r="E96" s="12"/>
      <c r="F96" s="12">
        <v>2024.0</v>
      </c>
      <c r="G96" s="14" t="s">
        <v>21</v>
      </c>
      <c r="H96" s="9"/>
      <c r="I96" s="11" t="s">
        <v>74</v>
      </c>
      <c r="J96" s="9">
        <v>168.0</v>
      </c>
      <c r="K96" s="9" t="s">
        <v>23</v>
      </c>
      <c r="L96" s="9" t="s">
        <v>24</v>
      </c>
      <c r="M96" s="11" t="s">
        <v>25</v>
      </c>
      <c r="N96" s="11" t="s">
        <v>26</v>
      </c>
      <c r="O96" s="9" t="s">
        <v>27</v>
      </c>
      <c r="P96" s="15">
        <f t="shared" si="1"/>
        <v>38240</v>
      </c>
      <c r="Q96" s="16">
        <f t="shared" si="2"/>
        <v>76480</v>
      </c>
      <c r="R96" s="6"/>
      <c r="S96" s="6"/>
      <c r="T96" s="6"/>
      <c r="U96" s="6"/>
      <c r="V96" s="6"/>
      <c r="W96" s="6"/>
      <c r="X96" s="6"/>
      <c r="Y96" s="6"/>
    </row>
    <row r="97" ht="31.5" customHeight="1">
      <c r="A97" s="17">
        <v>95.0</v>
      </c>
      <c r="B97" s="10" t="s">
        <v>315</v>
      </c>
      <c r="C97" s="11" t="s">
        <v>316</v>
      </c>
      <c r="D97" s="12" t="s">
        <v>317</v>
      </c>
      <c r="E97" s="12"/>
      <c r="F97" s="12">
        <v>2024.0</v>
      </c>
      <c r="G97" s="14" t="s">
        <v>21</v>
      </c>
      <c r="H97" s="9"/>
      <c r="I97" s="11" t="s">
        <v>22</v>
      </c>
      <c r="J97" s="9">
        <v>104.0</v>
      </c>
      <c r="K97" s="9" t="s">
        <v>23</v>
      </c>
      <c r="L97" s="9" t="s">
        <v>24</v>
      </c>
      <c r="M97" s="11" t="s">
        <v>25</v>
      </c>
      <c r="N97" s="11" t="s">
        <v>26</v>
      </c>
      <c r="O97" s="9" t="s">
        <v>27</v>
      </c>
      <c r="P97" s="15">
        <f t="shared" si="1"/>
        <v>20600</v>
      </c>
      <c r="Q97" s="16">
        <f t="shared" si="2"/>
        <v>41200</v>
      </c>
      <c r="R97" s="6"/>
      <c r="S97" s="6"/>
      <c r="T97" s="6"/>
      <c r="U97" s="6"/>
      <c r="V97" s="6"/>
      <c r="W97" s="6"/>
      <c r="X97" s="6"/>
      <c r="Y97" s="6"/>
    </row>
    <row r="98" ht="31.5" customHeight="1">
      <c r="A98" s="17">
        <v>96.0</v>
      </c>
      <c r="B98" s="10" t="s">
        <v>318</v>
      </c>
      <c r="C98" s="11" t="s">
        <v>319</v>
      </c>
      <c r="D98" s="12" t="s">
        <v>320</v>
      </c>
      <c r="E98" s="13" t="s">
        <v>321</v>
      </c>
      <c r="F98" s="12">
        <v>2024.0</v>
      </c>
      <c r="G98" s="14" t="s">
        <v>21</v>
      </c>
      <c r="H98" s="9"/>
      <c r="I98" s="11" t="s">
        <v>22</v>
      </c>
      <c r="J98" s="9">
        <v>138.0</v>
      </c>
      <c r="K98" s="9" t="s">
        <v>23</v>
      </c>
      <c r="L98" s="9" t="s">
        <v>24</v>
      </c>
      <c r="M98" s="11" t="s">
        <v>25</v>
      </c>
      <c r="N98" s="11" t="s">
        <v>26</v>
      </c>
      <c r="O98" s="9" t="s">
        <v>27</v>
      </c>
      <c r="P98" s="15">
        <f t="shared" si="1"/>
        <v>25700</v>
      </c>
      <c r="Q98" s="16">
        <f t="shared" si="2"/>
        <v>51400</v>
      </c>
      <c r="R98" s="6"/>
      <c r="S98" s="6"/>
      <c r="T98" s="6"/>
      <c r="U98" s="6"/>
      <c r="V98" s="6"/>
      <c r="W98" s="6"/>
      <c r="X98" s="6"/>
      <c r="Y98" s="6"/>
    </row>
    <row r="99" ht="31.5" customHeight="1">
      <c r="A99" s="17">
        <v>97.0</v>
      </c>
      <c r="B99" s="10" t="s">
        <v>322</v>
      </c>
      <c r="C99" s="11" t="s">
        <v>323</v>
      </c>
      <c r="D99" s="12" t="s">
        <v>324</v>
      </c>
      <c r="E99" s="12"/>
      <c r="F99" s="12">
        <v>2024.0</v>
      </c>
      <c r="G99" s="14" t="s">
        <v>21</v>
      </c>
      <c r="H99" s="9"/>
      <c r="I99" s="11" t="s">
        <v>22</v>
      </c>
      <c r="J99" s="9">
        <v>94.0</v>
      </c>
      <c r="K99" s="9" t="s">
        <v>23</v>
      </c>
      <c r="L99" s="9" t="s">
        <v>24</v>
      </c>
      <c r="M99" s="11" t="s">
        <v>25</v>
      </c>
      <c r="N99" s="11" t="s">
        <v>26</v>
      </c>
      <c r="O99" s="9" t="s">
        <v>27</v>
      </c>
      <c r="P99" s="15">
        <f t="shared" si="1"/>
        <v>19100</v>
      </c>
      <c r="Q99" s="16">
        <f t="shared" si="2"/>
        <v>38200</v>
      </c>
      <c r="R99" s="6"/>
      <c r="S99" s="6"/>
      <c r="T99" s="6"/>
      <c r="U99" s="6"/>
      <c r="V99" s="6"/>
      <c r="W99" s="6"/>
      <c r="X99" s="6"/>
      <c r="Y99" s="6"/>
    </row>
    <row r="100" ht="31.5" customHeight="1">
      <c r="A100" s="17">
        <v>98.0</v>
      </c>
      <c r="B100" s="10" t="s">
        <v>325</v>
      </c>
      <c r="C100" s="11" t="s">
        <v>326</v>
      </c>
      <c r="D100" s="12" t="s">
        <v>327</v>
      </c>
      <c r="E100" s="13" t="s">
        <v>48</v>
      </c>
      <c r="F100" s="12">
        <v>2024.0</v>
      </c>
      <c r="G100" s="14" t="s">
        <v>21</v>
      </c>
      <c r="H100" s="9"/>
      <c r="I100" s="11" t="s">
        <v>204</v>
      </c>
      <c r="J100" s="17"/>
      <c r="K100" s="9" t="s">
        <v>23</v>
      </c>
      <c r="L100" s="9" t="s">
        <v>24</v>
      </c>
      <c r="M100" s="11" t="s">
        <v>25</v>
      </c>
      <c r="N100" s="11" t="s">
        <v>26</v>
      </c>
      <c r="O100" s="9" t="s">
        <v>27</v>
      </c>
      <c r="P100" s="15">
        <f t="shared" si="1"/>
        <v>0</v>
      </c>
      <c r="Q100" s="16">
        <f t="shared" si="2"/>
        <v>0</v>
      </c>
      <c r="R100" s="6"/>
      <c r="S100" s="6"/>
      <c r="T100" s="6"/>
      <c r="U100" s="6"/>
      <c r="V100" s="6"/>
      <c r="W100" s="6"/>
      <c r="X100" s="6"/>
      <c r="Y100" s="6"/>
    </row>
    <row r="101" ht="31.5" customHeight="1">
      <c r="A101" s="17">
        <v>99.0</v>
      </c>
      <c r="B101" s="10" t="s">
        <v>328</v>
      </c>
      <c r="C101" s="11" t="s">
        <v>329</v>
      </c>
      <c r="D101" s="12" t="s">
        <v>330</v>
      </c>
      <c r="E101" s="12"/>
      <c r="F101" s="12">
        <v>2024.0</v>
      </c>
      <c r="G101" s="14" t="s">
        <v>21</v>
      </c>
      <c r="H101" s="9"/>
      <c r="I101" s="11" t="s">
        <v>204</v>
      </c>
      <c r="J101" s="17"/>
      <c r="K101" s="9" t="s">
        <v>23</v>
      </c>
      <c r="L101" s="9" t="s">
        <v>24</v>
      </c>
      <c r="M101" s="11" t="s">
        <v>25</v>
      </c>
      <c r="N101" s="11" t="s">
        <v>26</v>
      </c>
      <c r="O101" s="9" t="s">
        <v>27</v>
      </c>
      <c r="P101" s="15">
        <f t="shared" si="1"/>
        <v>0</v>
      </c>
      <c r="Q101" s="16">
        <f t="shared" si="2"/>
        <v>0</v>
      </c>
      <c r="R101" s="6"/>
      <c r="S101" s="6"/>
      <c r="T101" s="6"/>
      <c r="U101" s="6"/>
      <c r="V101" s="6"/>
      <c r="W101" s="6"/>
      <c r="X101" s="6"/>
      <c r="Y101" s="6"/>
    </row>
    <row r="102" ht="31.5" customHeight="1">
      <c r="A102" s="17">
        <v>100.0</v>
      </c>
      <c r="B102" s="10" t="s">
        <v>331</v>
      </c>
      <c r="C102" s="11" t="s">
        <v>332</v>
      </c>
      <c r="D102" s="12" t="s">
        <v>333</v>
      </c>
      <c r="E102" s="12"/>
      <c r="F102" s="12">
        <v>2024.0</v>
      </c>
      <c r="G102" s="14" t="s">
        <v>21</v>
      </c>
      <c r="H102" s="9"/>
      <c r="I102" s="11" t="s">
        <v>204</v>
      </c>
      <c r="J102" s="17"/>
      <c r="K102" s="9" t="s">
        <v>23</v>
      </c>
      <c r="L102" s="9" t="s">
        <v>24</v>
      </c>
      <c r="M102" s="11" t="s">
        <v>25</v>
      </c>
      <c r="N102" s="11" t="s">
        <v>26</v>
      </c>
      <c r="O102" s="9" t="s">
        <v>27</v>
      </c>
      <c r="P102" s="15">
        <f t="shared" si="1"/>
        <v>0</v>
      </c>
      <c r="Q102" s="16">
        <f t="shared" si="2"/>
        <v>0</v>
      </c>
      <c r="R102" s="6"/>
      <c r="S102" s="6"/>
      <c r="T102" s="6"/>
      <c r="U102" s="6"/>
      <c r="V102" s="6"/>
      <c r="W102" s="6"/>
      <c r="X102" s="6"/>
      <c r="Y102" s="6"/>
    </row>
    <row r="103" ht="31.5" customHeight="1">
      <c r="A103" s="17">
        <v>101.0</v>
      </c>
      <c r="B103" s="10" t="s">
        <v>334</v>
      </c>
      <c r="C103" s="11" t="s">
        <v>335</v>
      </c>
      <c r="D103" s="12" t="s">
        <v>336</v>
      </c>
      <c r="E103" s="12"/>
      <c r="F103" s="12">
        <v>2024.0</v>
      </c>
      <c r="G103" s="14" t="s">
        <v>21</v>
      </c>
      <c r="H103" s="9"/>
      <c r="I103" s="11" t="s">
        <v>204</v>
      </c>
      <c r="J103" s="17"/>
      <c r="K103" s="9" t="s">
        <v>23</v>
      </c>
      <c r="L103" s="9" t="s">
        <v>24</v>
      </c>
      <c r="M103" s="11" t="s">
        <v>25</v>
      </c>
      <c r="N103" s="11" t="s">
        <v>26</v>
      </c>
      <c r="O103" s="9" t="s">
        <v>27</v>
      </c>
      <c r="P103" s="15">
        <f t="shared" si="1"/>
        <v>0</v>
      </c>
      <c r="Q103" s="16">
        <f t="shared" si="2"/>
        <v>0</v>
      </c>
      <c r="R103" s="6"/>
      <c r="S103" s="6"/>
      <c r="T103" s="6"/>
      <c r="U103" s="6"/>
      <c r="V103" s="6"/>
      <c r="W103" s="6"/>
      <c r="X103" s="6"/>
      <c r="Y103" s="6"/>
    </row>
    <row r="104" ht="31.5" customHeight="1">
      <c r="A104" s="17">
        <v>102.0</v>
      </c>
      <c r="B104" s="10" t="s">
        <v>337</v>
      </c>
      <c r="C104" s="11" t="s">
        <v>338</v>
      </c>
      <c r="D104" s="12" t="s">
        <v>339</v>
      </c>
      <c r="E104" s="12"/>
      <c r="F104" s="12">
        <v>2024.0</v>
      </c>
      <c r="G104" s="14" t="s">
        <v>21</v>
      </c>
      <c r="H104" s="9"/>
      <c r="I104" s="11" t="s">
        <v>204</v>
      </c>
      <c r="J104" s="17"/>
      <c r="K104" s="9" t="s">
        <v>23</v>
      </c>
      <c r="L104" s="9" t="s">
        <v>24</v>
      </c>
      <c r="M104" s="11" t="s">
        <v>25</v>
      </c>
      <c r="N104" s="11" t="s">
        <v>26</v>
      </c>
      <c r="O104" s="9" t="s">
        <v>27</v>
      </c>
      <c r="P104" s="15">
        <f t="shared" si="1"/>
        <v>0</v>
      </c>
      <c r="Q104" s="16">
        <f t="shared" si="2"/>
        <v>0</v>
      </c>
      <c r="R104" s="6"/>
      <c r="S104" s="6"/>
      <c r="T104" s="6"/>
      <c r="U104" s="6"/>
      <c r="V104" s="6"/>
      <c r="W104" s="6"/>
      <c r="X104" s="6"/>
      <c r="Y104" s="6"/>
    </row>
    <row r="105" ht="31.5" customHeight="1">
      <c r="A105" s="17">
        <v>103.0</v>
      </c>
      <c r="B105" s="10" t="s">
        <v>340</v>
      </c>
      <c r="C105" s="11" t="s">
        <v>341</v>
      </c>
      <c r="D105" s="12" t="s">
        <v>342</v>
      </c>
      <c r="E105" s="12"/>
      <c r="F105" s="12">
        <v>2024.0</v>
      </c>
      <c r="G105" s="14" t="s">
        <v>21</v>
      </c>
      <c r="H105" s="9"/>
      <c r="I105" s="11" t="s">
        <v>204</v>
      </c>
      <c r="J105" s="17"/>
      <c r="K105" s="9" t="s">
        <v>23</v>
      </c>
      <c r="L105" s="9" t="s">
        <v>24</v>
      </c>
      <c r="M105" s="11" t="s">
        <v>25</v>
      </c>
      <c r="N105" s="11" t="s">
        <v>26</v>
      </c>
      <c r="O105" s="9" t="s">
        <v>27</v>
      </c>
      <c r="P105" s="15">
        <f t="shared" si="1"/>
        <v>0</v>
      </c>
      <c r="Q105" s="16">
        <f t="shared" si="2"/>
        <v>0</v>
      </c>
      <c r="R105" s="6"/>
      <c r="S105" s="6"/>
      <c r="T105" s="6"/>
      <c r="U105" s="6"/>
      <c r="V105" s="6"/>
      <c r="W105" s="6"/>
      <c r="X105" s="6"/>
      <c r="Y105" s="6"/>
    </row>
    <row r="106" ht="31.5" customHeight="1">
      <c r="A106" s="17">
        <v>104.0</v>
      </c>
      <c r="B106" s="10" t="s">
        <v>343</v>
      </c>
      <c r="C106" s="11" t="s">
        <v>344</v>
      </c>
      <c r="D106" s="12" t="s">
        <v>345</v>
      </c>
      <c r="E106" s="12"/>
      <c r="F106" s="12">
        <v>2024.0</v>
      </c>
      <c r="G106" s="14" t="s">
        <v>21</v>
      </c>
      <c r="H106" s="9"/>
      <c r="I106" s="11" t="s">
        <v>204</v>
      </c>
      <c r="J106" s="17"/>
      <c r="K106" s="9" t="s">
        <v>23</v>
      </c>
      <c r="L106" s="9" t="s">
        <v>24</v>
      </c>
      <c r="M106" s="11" t="s">
        <v>25</v>
      </c>
      <c r="N106" s="11" t="s">
        <v>26</v>
      </c>
      <c r="O106" s="9" t="s">
        <v>27</v>
      </c>
      <c r="P106" s="15">
        <f t="shared" si="1"/>
        <v>0</v>
      </c>
      <c r="Q106" s="16">
        <f t="shared" si="2"/>
        <v>0</v>
      </c>
      <c r="R106" s="6"/>
      <c r="S106" s="6"/>
      <c r="T106" s="6"/>
      <c r="U106" s="6"/>
      <c r="V106" s="6"/>
      <c r="W106" s="6"/>
      <c r="X106" s="6"/>
      <c r="Y106" s="6"/>
    </row>
    <row r="107" ht="31.5" customHeight="1">
      <c r="A107" s="17">
        <v>105.0</v>
      </c>
      <c r="B107" s="10" t="s">
        <v>346</v>
      </c>
      <c r="C107" s="11" t="s">
        <v>347</v>
      </c>
      <c r="D107" s="12" t="s">
        <v>348</v>
      </c>
      <c r="E107" s="12" t="s">
        <v>122</v>
      </c>
      <c r="F107" s="12">
        <v>2024.0</v>
      </c>
      <c r="G107" s="14" t="s">
        <v>21</v>
      </c>
      <c r="H107" s="9"/>
      <c r="I107" s="11" t="s">
        <v>204</v>
      </c>
      <c r="J107" s="17"/>
      <c r="K107" s="9" t="s">
        <v>23</v>
      </c>
      <c r="L107" s="9" t="s">
        <v>24</v>
      </c>
      <c r="M107" s="11" t="s">
        <v>25</v>
      </c>
      <c r="N107" s="11" t="s">
        <v>26</v>
      </c>
      <c r="O107" s="9" t="s">
        <v>27</v>
      </c>
      <c r="P107" s="15">
        <f t="shared" si="1"/>
        <v>0</v>
      </c>
      <c r="Q107" s="16">
        <f t="shared" si="2"/>
        <v>0</v>
      </c>
      <c r="R107" s="6"/>
      <c r="S107" s="6"/>
      <c r="T107" s="6"/>
      <c r="U107" s="6"/>
      <c r="V107" s="6"/>
      <c r="W107" s="6"/>
      <c r="X107" s="6"/>
      <c r="Y107" s="6"/>
    </row>
    <row r="108" ht="31.5" customHeight="1">
      <c r="A108" s="17">
        <v>106.0</v>
      </c>
      <c r="B108" s="10" t="s">
        <v>349</v>
      </c>
      <c r="C108" s="11" t="s">
        <v>350</v>
      </c>
      <c r="D108" s="12" t="s">
        <v>351</v>
      </c>
      <c r="E108" s="12"/>
      <c r="F108" s="12">
        <v>2024.0</v>
      </c>
      <c r="G108" s="14" t="s">
        <v>21</v>
      </c>
      <c r="H108" s="9"/>
      <c r="I108" s="11" t="s">
        <v>22</v>
      </c>
      <c r="J108" s="9">
        <v>370.0</v>
      </c>
      <c r="K108" s="9" t="s">
        <v>23</v>
      </c>
      <c r="L108" s="9" t="s">
        <v>24</v>
      </c>
      <c r="M108" s="11" t="s">
        <v>25</v>
      </c>
      <c r="N108" s="11" t="s">
        <v>26</v>
      </c>
      <c r="O108" s="9" t="s">
        <v>27</v>
      </c>
      <c r="P108" s="15">
        <f t="shared" si="1"/>
        <v>60500</v>
      </c>
      <c r="Q108" s="16">
        <f t="shared" si="2"/>
        <v>121000</v>
      </c>
      <c r="R108" s="6"/>
      <c r="S108" s="6"/>
      <c r="T108" s="6"/>
      <c r="U108" s="6"/>
      <c r="V108" s="6"/>
      <c r="W108" s="6"/>
      <c r="X108" s="6"/>
      <c r="Y108" s="6"/>
    </row>
    <row r="109" ht="31.5" customHeight="1">
      <c r="A109" s="17">
        <v>107.0</v>
      </c>
      <c r="B109" s="10" t="s">
        <v>352</v>
      </c>
      <c r="C109" s="11" t="s">
        <v>353</v>
      </c>
      <c r="D109" s="12" t="s">
        <v>354</v>
      </c>
      <c r="E109" s="13" t="s">
        <v>34</v>
      </c>
      <c r="F109" s="12">
        <v>2023.0</v>
      </c>
      <c r="G109" s="14" t="s">
        <v>21</v>
      </c>
      <c r="H109" s="9"/>
      <c r="I109" s="11" t="s">
        <v>204</v>
      </c>
      <c r="J109" s="17"/>
      <c r="K109" s="9" t="s">
        <v>23</v>
      </c>
      <c r="L109" s="9" t="s">
        <v>24</v>
      </c>
      <c r="M109" s="11" t="s">
        <v>25</v>
      </c>
      <c r="N109" s="11" t="s">
        <v>26</v>
      </c>
      <c r="O109" s="9" t="s">
        <v>27</v>
      </c>
      <c r="P109" s="15">
        <f t="shared" si="1"/>
        <v>0</v>
      </c>
      <c r="Q109" s="16">
        <f t="shared" si="2"/>
        <v>0</v>
      </c>
      <c r="R109" s="6"/>
      <c r="S109" s="6"/>
      <c r="T109" s="6"/>
      <c r="U109" s="6"/>
      <c r="V109" s="6"/>
      <c r="W109" s="6"/>
      <c r="X109" s="6"/>
      <c r="Y109" s="6"/>
    </row>
    <row r="110" ht="31.5" customHeight="1">
      <c r="A110" s="17">
        <v>108.0</v>
      </c>
      <c r="B110" s="10" t="s">
        <v>355</v>
      </c>
      <c r="C110" s="11" t="s">
        <v>356</v>
      </c>
      <c r="D110" s="12" t="s">
        <v>357</v>
      </c>
      <c r="E110" s="13" t="s">
        <v>81</v>
      </c>
      <c r="F110" s="12">
        <v>2023.0</v>
      </c>
      <c r="G110" s="14" t="s">
        <v>21</v>
      </c>
      <c r="H110" s="9"/>
      <c r="I110" s="11" t="s">
        <v>204</v>
      </c>
      <c r="J110" s="17"/>
      <c r="K110" s="9" t="s">
        <v>23</v>
      </c>
      <c r="L110" s="9" t="s">
        <v>24</v>
      </c>
      <c r="M110" s="11" t="s">
        <v>25</v>
      </c>
      <c r="N110" s="11" t="s">
        <v>26</v>
      </c>
      <c r="O110" s="9" t="s">
        <v>27</v>
      </c>
      <c r="P110" s="15">
        <f t="shared" si="1"/>
        <v>0</v>
      </c>
      <c r="Q110" s="16">
        <f t="shared" si="2"/>
        <v>0</v>
      </c>
      <c r="R110" s="6"/>
      <c r="S110" s="6"/>
      <c r="T110" s="6"/>
      <c r="U110" s="6"/>
      <c r="V110" s="6"/>
      <c r="W110" s="6"/>
      <c r="X110" s="6"/>
      <c r="Y110" s="6"/>
    </row>
    <row r="111" ht="31.5" customHeight="1">
      <c r="A111" s="17">
        <v>109.0</v>
      </c>
      <c r="B111" s="10" t="s">
        <v>358</v>
      </c>
      <c r="C111" s="11" t="s">
        <v>359</v>
      </c>
      <c r="D111" s="12" t="s">
        <v>360</v>
      </c>
      <c r="E111" s="12"/>
      <c r="F111" s="12">
        <v>2023.0</v>
      </c>
      <c r="G111" s="14" t="s">
        <v>21</v>
      </c>
      <c r="H111" s="9"/>
      <c r="I111" s="11" t="s">
        <v>204</v>
      </c>
      <c r="J111" s="17"/>
      <c r="K111" s="9" t="s">
        <v>23</v>
      </c>
      <c r="L111" s="9" t="s">
        <v>24</v>
      </c>
      <c r="M111" s="11" t="s">
        <v>25</v>
      </c>
      <c r="N111" s="11" t="s">
        <v>26</v>
      </c>
      <c r="O111" s="9" t="s">
        <v>27</v>
      </c>
      <c r="P111" s="15">
        <f t="shared" si="1"/>
        <v>0</v>
      </c>
      <c r="Q111" s="16">
        <f t="shared" si="2"/>
        <v>0</v>
      </c>
      <c r="R111" s="6"/>
      <c r="S111" s="6"/>
      <c r="T111" s="6"/>
      <c r="U111" s="6"/>
      <c r="V111" s="6"/>
      <c r="W111" s="6"/>
      <c r="X111" s="6"/>
      <c r="Y111" s="6"/>
    </row>
    <row r="112" ht="31.5" customHeight="1">
      <c r="A112" s="17">
        <v>110.0</v>
      </c>
      <c r="B112" s="10" t="s">
        <v>361</v>
      </c>
      <c r="C112" s="11" t="s">
        <v>362</v>
      </c>
      <c r="D112" s="12" t="s">
        <v>363</v>
      </c>
      <c r="E112" s="12"/>
      <c r="F112" s="12">
        <v>2023.0</v>
      </c>
      <c r="G112" s="14" t="s">
        <v>21</v>
      </c>
      <c r="H112" s="9"/>
      <c r="I112" s="11" t="s">
        <v>74</v>
      </c>
      <c r="J112" s="9">
        <v>84.0</v>
      </c>
      <c r="K112" s="9" t="s">
        <v>23</v>
      </c>
      <c r="L112" s="9" t="s">
        <v>24</v>
      </c>
      <c r="M112" s="11" t="s">
        <v>25</v>
      </c>
      <c r="N112" s="11" t="s">
        <v>26</v>
      </c>
      <c r="O112" s="9" t="s">
        <v>27</v>
      </c>
      <c r="P112" s="15">
        <f t="shared" si="1"/>
        <v>23120</v>
      </c>
      <c r="Q112" s="16">
        <f t="shared" si="2"/>
        <v>46240</v>
      </c>
      <c r="R112" s="6"/>
      <c r="S112" s="6"/>
      <c r="T112" s="6"/>
      <c r="U112" s="6"/>
      <c r="V112" s="6"/>
      <c r="W112" s="6"/>
      <c r="X112" s="6"/>
      <c r="Y112" s="6"/>
    </row>
    <row r="113" ht="31.5" customHeight="1">
      <c r="A113" s="17">
        <v>111.0</v>
      </c>
      <c r="B113" s="10" t="s">
        <v>364</v>
      </c>
      <c r="C113" s="11" t="s">
        <v>365</v>
      </c>
      <c r="D113" s="12" t="s">
        <v>366</v>
      </c>
      <c r="E113" s="12"/>
      <c r="F113" s="12">
        <v>2023.0</v>
      </c>
      <c r="G113" s="14" t="s">
        <v>21</v>
      </c>
      <c r="H113" s="9"/>
      <c r="I113" s="11" t="s">
        <v>204</v>
      </c>
      <c r="J113" s="17"/>
      <c r="K113" s="9" t="s">
        <v>23</v>
      </c>
      <c r="L113" s="9" t="s">
        <v>24</v>
      </c>
      <c r="M113" s="11" t="s">
        <v>25</v>
      </c>
      <c r="N113" s="11" t="s">
        <v>26</v>
      </c>
      <c r="O113" s="9" t="s">
        <v>27</v>
      </c>
      <c r="P113" s="15">
        <f t="shared" si="1"/>
        <v>0</v>
      </c>
      <c r="Q113" s="16">
        <f t="shared" si="2"/>
        <v>0</v>
      </c>
      <c r="R113" s="6"/>
      <c r="S113" s="6"/>
      <c r="T113" s="6"/>
      <c r="U113" s="6"/>
      <c r="V113" s="6"/>
      <c r="W113" s="6"/>
      <c r="X113" s="6"/>
      <c r="Y113" s="6"/>
    </row>
    <row r="114" ht="31.5" customHeight="1">
      <c r="A114" s="17">
        <v>112.0</v>
      </c>
      <c r="B114" s="10" t="s">
        <v>367</v>
      </c>
      <c r="C114" s="11" t="s">
        <v>368</v>
      </c>
      <c r="D114" s="12" t="s">
        <v>369</v>
      </c>
      <c r="E114" s="12"/>
      <c r="F114" s="12">
        <v>2023.0</v>
      </c>
      <c r="G114" s="14" t="s">
        <v>21</v>
      </c>
      <c r="H114" s="9"/>
      <c r="I114" s="11" t="s">
        <v>22</v>
      </c>
      <c r="J114" s="9">
        <v>402.0</v>
      </c>
      <c r="K114" s="9" t="s">
        <v>23</v>
      </c>
      <c r="L114" s="9" t="s">
        <v>24</v>
      </c>
      <c r="M114" s="11" t="s">
        <v>25</v>
      </c>
      <c r="N114" s="11" t="s">
        <v>26</v>
      </c>
      <c r="O114" s="9" t="s">
        <v>27</v>
      </c>
      <c r="P114" s="15">
        <f t="shared" si="1"/>
        <v>65300</v>
      </c>
      <c r="Q114" s="16">
        <f t="shared" si="2"/>
        <v>130600</v>
      </c>
      <c r="R114" s="6"/>
      <c r="S114" s="6"/>
      <c r="T114" s="6"/>
      <c r="U114" s="6"/>
      <c r="V114" s="6"/>
      <c r="W114" s="6"/>
      <c r="X114" s="6"/>
      <c r="Y114" s="6"/>
    </row>
    <row r="115" ht="31.5" customHeight="1">
      <c r="A115" s="17">
        <v>113.0</v>
      </c>
      <c r="B115" s="10" t="s">
        <v>370</v>
      </c>
      <c r="C115" s="11" t="s">
        <v>371</v>
      </c>
      <c r="D115" s="12" t="s">
        <v>372</v>
      </c>
      <c r="E115" s="12"/>
      <c r="F115" s="12">
        <v>2023.0</v>
      </c>
      <c r="G115" s="14" t="s">
        <v>21</v>
      </c>
      <c r="H115" s="9"/>
      <c r="I115" s="11" t="s">
        <v>204</v>
      </c>
      <c r="J115" s="17"/>
      <c r="K115" s="9" t="s">
        <v>23</v>
      </c>
      <c r="L115" s="9" t="s">
        <v>24</v>
      </c>
      <c r="M115" s="11" t="s">
        <v>25</v>
      </c>
      <c r="N115" s="11" t="s">
        <v>26</v>
      </c>
      <c r="O115" s="9" t="s">
        <v>27</v>
      </c>
      <c r="P115" s="15">
        <f t="shared" si="1"/>
        <v>0</v>
      </c>
      <c r="Q115" s="16">
        <f t="shared" si="2"/>
        <v>0</v>
      </c>
      <c r="R115" s="6"/>
      <c r="S115" s="6"/>
      <c r="T115" s="6"/>
      <c r="U115" s="6"/>
      <c r="V115" s="6"/>
      <c r="W115" s="6"/>
      <c r="X115" s="6"/>
      <c r="Y115" s="6"/>
    </row>
    <row r="116" ht="31.5" customHeight="1">
      <c r="A116" s="17">
        <v>114.0</v>
      </c>
      <c r="B116" s="10" t="s">
        <v>373</v>
      </c>
      <c r="C116" s="11" t="s">
        <v>374</v>
      </c>
      <c r="D116" s="12" t="s">
        <v>375</v>
      </c>
      <c r="E116" s="12"/>
      <c r="F116" s="12">
        <v>2023.0</v>
      </c>
      <c r="G116" s="14" t="s">
        <v>21</v>
      </c>
      <c r="H116" s="9"/>
      <c r="I116" s="11" t="s">
        <v>22</v>
      </c>
      <c r="J116" s="9">
        <v>146.0</v>
      </c>
      <c r="K116" s="9" t="s">
        <v>23</v>
      </c>
      <c r="L116" s="9" t="s">
        <v>24</v>
      </c>
      <c r="M116" s="11" t="s">
        <v>25</v>
      </c>
      <c r="N116" s="11" t="s">
        <v>26</v>
      </c>
      <c r="O116" s="9" t="s">
        <v>27</v>
      </c>
      <c r="P116" s="15">
        <f t="shared" si="1"/>
        <v>26900</v>
      </c>
      <c r="Q116" s="16">
        <f t="shared" si="2"/>
        <v>53800</v>
      </c>
      <c r="R116" s="6"/>
      <c r="S116" s="6"/>
      <c r="T116" s="6"/>
      <c r="U116" s="6"/>
      <c r="V116" s="6"/>
      <c r="W116" s="6"/>
      <c r="X116" s="6"/>
      <c r="Y116" s="6"/>
    </row>
    <row r="117" ht="31.5" customHeight="1">
      <c r="A117" s="17">
        <v>115.0</v>
      </c>
      <c r="B117" s="10" t="s">
        <v>376</v>
      </c>
      <c r="C117" s="11" t="s">
        <v>377</v>
      </c>
      <c r="D117" s="12" t="s">
        <v>378</v>
      </c>
      <c r="E117" s="12"/>
      <c r="F117" s="12">
        <v>2023.0</v>
      </c>
      <c r="G117" s="14" t="s">
        <v>21</v>
      </c>
      <c r="H117" s="9"/>
      <c r="I117" s="11" t="s">
        <v>22</v>
      </c>
      <c r="J117" s="9">
        <v>69.0</v>
      </c>
      <c r="K117" s="9" t="s">
        <v>23</v>
      </c>
      <c r="L117" s="9" t="s">
        <v>24</v>
      </c>
      <c r="M117" s="11" t="s">
        <v>25</v>
      </c>
      <c r="N117" s="11" t="s">
        <v>26</v>
      </c>
      <c r="O117" s="9" t="s">
        <v>27</v>
      </c>
      <c r="P117" s="15">
        <f t="shared" si="1"/>
        <v>15350</v>
      </c>
      <c r="Q117" s="16">
        <f t="shared" si="2"/>
        <v>30700</v>
      </c>
      <c r="R117" s="6"/>
      <c r="S117" s="6"/>
      <c r="T117" s="6"/>
      <c r="U117" s="6"/>
      <c r="V117" s="6"/>
      <c r="W117" s="6"/>
      <c r="X117" s="6"/>
      <c r="Y117" s="6"/>
    </row>
    <row r="118" ht="31.5" customHeight="1">
      <c r="A118" s="17">
        <v>116.0</v>
      </c>
      <c r="B118" s="10" t="s">
        <v>379</v>
      </c>
      <c r="C118" s="11" t="s">
        <v>380</v>
      </c>
      <c r="D118" s="12" t="s">
        <v>381</v>
      </c>
      <c r="E118" s="12"/>
      <c r="F118" s="12">
        <v>2023.0</v>
      </c>
      <c r="G118" s="14" t="s">
        <v>21</v>
      </c>
      <c r="H118" s="9" t="s">
        <v>382</v>
      </c>
      <c r="I118" s="11" t="s">
        <v>22</v>
      </c>
      <c r="J118" s="9">
        <v>245.0</v>
      </c>
      <c r="K118" s="9" t="s">
        <v>23</v>
      </c>
      <c r="L118" s="9" t="s">
        <v>24</v>
      </c>
      <c r="M118" s="11" t="s">
        <v>25</v>
      </c>
      <c r="N118" s="11" t="s">
        <v>26</v>
      </c>
      <c r="O118" s="9" t="s">
        <v>27</v>
      </c>
      <c r="P118" s="15">
        <f t="shared" si="1"/>
        <v>41750</v>
      </c>
      <c r="Q118" s="16">
        <f t="shared" si="2"/>
        <v>83500</v>
      </c>
      <c r="R118" s="6"/>
      <c r="S118" s="6"/>
      <c r="T118" s="6"/>
      <c r="U118" s="6"/>
      <c r="V118" s="6"/>
      <c r="W118" s="6"/>
      <c r="X118" s="6"/>
      <c r="Y118" s="6"/>
    </row>
    <row r="119" ht="31.5" customHeight="1">
      <c r="A119" s="17">
        <v>117.0</v>
      </c>
      <c r="B119" s="10" t="s">
        <v>383</v>
      </c>
      <c r="C119" s="11" t="s">
        <v>384</v>
      </c>
      <c r="D119" s="12" t="s">
        <v>385</v>
      </c>
      <c r="E119" s="12"/>
      <c r="F119" s="12">
        <v>2023.0</v>
      </c>
      <c r="G119" s="14" t="s">
        <v>21</v>
      </c>
      <c r="H119" s="9"/>
      <c r="I119" s="11" t="s">
        <v>22</v>
      </c>
      <c r="J119" s="9">
        <v>77.0</v>
      </c>
      <c r="K119" s="9" t="s">
        <v>23</v>
      </c>
      <c r="L119" s="9" t="s">
        <v>24</v>
      </c>
      <c r="M119" s="11" t="s">
        <v>25</v>
      </c>
      <c r="N119" s="11" t="s">
        <v>26</v>
      </c>
      <c r="O119" s="9" t="s">
        <v>27</v>
      </c>
      <c r="P119" s="15">
        <f t="shared" si="1"/>
        <v>16550</v>
      </c>
      <c r="Q119" s="16">
        <f t="shared" si="2"/>
        <v>33100</v>
      </c>
      <c r="R119" s="6"/>
      <c r="S119" s="6"/>
      <c r="T119" s="6"/>
      <c r="U119" s="6"/>
      <c r="V119" s="6"/>
      <c r="W119" s="6"/>
      <c r="X119" s="6"/>
      <c r="Y119" s="6"/>
    </row>
    <row r="120" ht="31.5" customHeight="1">
      <c r="A120" s="17">
        <v>118.0</v>
      </c>
      <c r="B120" s="10" t="s">
        <v>386</v>
      </c>
      <c r="C120" s="11" t="s">
        <v>387</v>
      </c>
      <c r="D120" s="12" t="s">
        <v>388</v>
      </c>
      <c r="E120" s="12"/>
      <c r="F120" s="12">
        <v>2023.0</v>
      </c>
      <c r="G120" s="14" t="s">
        <v>21</v>
      </c>
      <c r="H120" s="9"/>
      <c r="I120" s="11" t="s">
        <v>74</v>
      </c>
      <c r="J120" s="9">
        <v>80.0</v>
      </c>
      <c r="K120" s="9" t="s">
        <v>23</v>
      </c>
      <c r="L120" s="9" t="s">
        <v>24</v>
      </c>
      <c r="M120" s="11" t="s">
        <v>25</v>
      </c>
      <c r="N120" s="11" t="s">
        <v>26</v>
      </c>
      <c r="O120" s="9" t="s">
        <v>27</v>
      </c>
      <c r="P120" s="15">
        <f t="shared" si="1"/>
        <v>22400</v>
      </c>
      <c r="Q120" s="16">
        <f t="shared" si="2"/>
        <v>44800</v>
      </c>
      <c r="R120" s="6"/>
      <c r="S120" s="6"/>
      <c r="T120" s="6"/>
      <c r="U120" s="6"/>
      <c r="V120" s="6"/>
      <c r="W120" s="6"/>
      <c r="X120" s="6"/>
      <c r="Y120" s="6"/>
    </row>
    <row r="121" ht="31.5" customHeight="1">
      <c r="A121" s="17">
        <v>119.0</v>
      </c>
      <c r="B121" s="10" t="s">
        <v>389</v>
      </c>
      <c r="C121" s="11" t="s">
        <v>390</v>
      </c>
      <c r="D121" s="12" t="s">
        <v>391</v>
      </c>
      <c r="E121" s="12"/>
      <c r="F121" s="12">
        <v>2023.0</v>
      </c>
      <c r="G121" s="14" t="s">
        <v>21</v>
      </c>
      <c r="H121" s="9"/>
      <c r="I121" s="11" t="s">
        <v>74</v>
      </c>
      <c r="J121" s="9">
        <v>76.0</v>
      </c>
      <c r="K121" s="9" t="s">
        <v>23</v>
      </c>
      <c r="L121" s="9" t="s">
        <v>24</v>
      </c>
      <c r="M121" s="11" t="s">
        <v>25</v>
      </c>
      <c r="N121" s="11" t="s">
        <v>26</v>
      </c>
      <c r="O121" s="9" t="s">
        <v>27</v>
      </c>
      <c r="P121" s="15">
        <f t="shared" si="1"/>
        <v>21680</v>
      </c>
      <c r="Q121" s="16">
        <f t="shared" si="2"/>
        <v>43360</v>
      </c>
      <c r="R121" s="6"/>
      <c r="S121" s="6"/>
      <c r="T121" s="6"/>
      <c r="U121" s="6"/>
      <c r="V121" s="6"/>
      <c r="W121" s="6"/>
      <c r="X121" s="6"/>
      <c r="Y121" s="6"/>
    </row>
    <row r="122" ht="31.5" customHeight="1">
      <c r="A122" s="17">
        <v>120.0</v>
      </c>
      <c r="B122" s="10" t="s">
        <v>392</v>
      </c>
      <c r="C122" s="11" t="s">
        <v>393</v>
      </c>
      <c r="D122" s="12" t="s">
        <v>394</v>
      </c>
      <c r="E122" s="12"/>
      <c r="F122" s="12">
        <v>2023.0</v>
      </c>
      <c r="G122" s="14" t="s">
        <v>21</v>
      </c>
      <c r="H122" s="9"/>
      <c r="I122" s="11" t="s">
        <v>204</v>
      </c>
      <c r="J122" s="17"/>
      <c r="K122" s="9" t="s">
        <v>23</v>
      </c>
      <c r="L122" s="9" t="s">
        <v>24</v>
      </c>
      <c r="M122" s="11" t="s">
        <v>25</v>
      </c>
      <c r="N122" s="11" t="s">
        <v>26</v>
      </c>
      <c r="O122" s="9" t="s">
        <v>27</v>
      </c>
      <c r="P122" s="15">
        <f t="shared" si="1"/>
        <v>0</v>
      </c>
      <c r="Q122" s="16">
        <f t="shared" si="2"/>
        <v>0</v>
      </c>
      <c r="R122" s="6"/>
      <c r="S122" s="6"/>
      <c r="T122" s="6"/>
      <c r="U122" s="6"/>
      <c r="V122" s="6"/>
      <c r="W122" s="6"/>
      <c r="X122" s="6"/>
      <c r="Y122" s="6"/>
    </row>
    <row r="123" ht="31.5" customHeight="1">
      <c r="A123" s="17">
        <v>121.0</v>
      </c>
      <c r="B123" s="10" t="s">
        <v>395</v>
      </c>
      <c r="C123" s="11" t="s">
        <v>289</v>
      </c>
      <c r="D123" s="12" t="s">
        <v>396</v>
      </c>
      <c r="E123" s="12"/>
      <c r="F123" s="12">
        <v>2023.0</v>
      </c>
      <c r="G123" s="14" t="s">
        <v>21</v>
      </c>
      <c r="H123" s="9"/>
      <c r="I123" s="11" t="s">
        <v>204</v>
      </c>
      <c r="J123" s="17"/>
      <c r="K123" s="9" t="s">
        <v>23</v>
      </c>
      <c r="L123" s="9" t="s">
        <v>24</v>
      </c>
      <c r="M123" s="11" t="s">
        <v>25</v>
      </c>
      <c r="N123" s="11" t="s">
        <v>26</v>
      </c>
      <c r="O123" s="9" t="s">
        <v>27</v>
      </c>
      <c r="P123" s="15">
        <f t="shared" si="1"/>
        <v>0</v>
      </c>
      <c r="Q123" s="16">
        <f t="shared" si="2"/>
        <v>0</v>
      </c>
      <c r="R123" s="6"/>
      <c r="S123" s="6"/>
      <c r="T123" s="6"/>
      <c r="U123" s="6"/>
      <c r="V123" s="6"/>
      <c r="W123" s="6"/>
      <c r="X123" s="6"/>
      <c r="Y123" s="6"/>
    </row>
    <row r="124" ht="31.5" customHeight="1">
      <c r="A124" s="17">
        <v>122.0</v>
      </c>
      <c r="B124" s="10" t="s">
        <v>397</v>
      </c>
      <c r="C124" s="11" t="s">
        <v>398</v>
      </c>
      <c r="D124" s="12" t="s">
        <v>399</v>
      </c>
      <c r="E124" s="12"/>
      <c r="F124" s="12">
        <v>2023.0</v>
      </c>
      <c r="G124" s="14" t="s">
        <v>21</v>
      </c>
      <c r="H124" s="9"/>
      <c r="I124" s="11" t="s">
        <v>74</v>
      </c>
      <c r="J124" s="9">
        <v>304.0</v>
      </c>
      <c r="K124" s="9" t="s">
        <v>23</v>
      </c>
      <c r="L124" s="9" t="s">
        <v>24</v>
      </c>
      <c r="M124" s="11" t="s">
        <v>25</v>
      </c>
      <c r="N124" s="11" t="s">
        <v>26</v>
      </c>
      <c r="O124" s="9" t="s">
        <v>27</v>
      </c>
      <c r="P124" s="15">
        <f t="shared" si="1"/>
        <v>62720</v>
      </c>
      <c r="Q124" s="16">
        <f t="shared" si="2"/>
        <v>125440</v>
      </c>
      <c r="R124" s="6"/>
      <c r="S124" s="6"/>
      <c r="T124" s="6"/>
      <c r="U124" s="6"/>
      <c r="V124" s="6"/>
      <c r="W124" s="6"/>
      <c r="X124" s="6"/>
      <c r="Y124" s="6"/>
    </row>
    <row r="125" ht="31.5" customHeight="1">
      <c r="A125" s="17">
        <v>123.0</v>
      </c>
      <c r="B125" s="10" t="s">
        <v>400</v>
      </c>
      <c r="C125" s="11" t="s">
        <v>401</v>
      </c>
      <c r="D125" s="12" t="s">
        <v>402</v>
      </c>
      <c r="E125" s="12"/>
      <c r="F125" s="12">
        <v>2023.0</v>
      </c>
      <c r="G125" s="14" t="s">
        <v>21</v>
      </c>
      <c r="H125" s="9"/>
      <c r="I125" s="11" t="s">
        <v>74</v>
      </c>
      <c r="J125" s="9">
        <v>227.0</v>
      </c>
      <c r="K125" s="9" t="s">
        <v>23</v>
      </c>
      <c r="L125" s="9" t="s">
        <v>24</v>
      </c>
      <c r="M125" s="11" t="s">
        <v>25</v>
      </c>
      <c r="N125" s="11" t="s">
        <v>26</v>
      </c>
      <c r="O125" s="9" t="s">
        <v>27</v>
      </c>
      <c r="P125" s="15">
        <f t="shared" si="1"/>
        <v>48860</v>
      </c>
      <c r="Q125" s="16">
        <f t="shared" si="2"/>
        <v>97720</v>
      </c>
      <c r="R125" s="6"/>
      <c r="S125" s="6"/>
      <c r="T125" s="6"/>
      <c r="U125" s="6"/>
      <c r="V125" s="6"/>
      <c r="W125" s="6"/>
      <c r="X125" s="6"/>
      <c r="Y125" s="6"/>
    </row>
    <row r="126" ht="31.5" customHeight="1">
      <c r="A126" s="17">
        <v>124.0</v>
      </c>
      <c r="B126" s="10" t="s">
        <v>403</v>
      </c>
      <c r="C126" s="11" t="s">
        <v>404</v>
      </c>
      <c r="D126" s="12" t="s">
        <v>405</v>
      </c>
      <c r="E126" s="12"/>
      <c r="F126" s="12">
        <v>2023.0</v>
      </c>
      <c r="G126" s="14" t="s">
        <v>21</v>
      </c>
      <c r="H126" s="9"/>
      <c r="I126" s="11" t="s">
        <v>22</v>
      </c>
      <c r="J126" s="9">
        <v>139.0</v>
      </c>
      <c r="K126" s="9" t="s">
        <v>23</v>
      </c>
      <c r="L126" s="9" t="s">
        <v>24</v>
      </c>
      <c r="M126" s="11" t="s">
        <v>25</v>
      </c>
      <c r="N126" s="11" t="s">
        <v>26</v>
      </c>
      <c r="O126" s="9" t="s">
        <v>27</v>
      </c>
      <c r="P126" s="15">
        <f t="shared" si="1"/>
        <v>25850</v>
      </c>
      <c r="Q126" s="16">
        <f t="shared" si="2"/>
        <v>51700</v>
      </c>
      <c r="R126" s="6"/>
      <c r="S126" s="6"/>
      <c r="T126" s="6"/>
      <c r="U126" s="6"/>
      <c r="V126" s="6"/>
      <c r="W126" s="6"/>
      <c r="X126" s="6"/>
      <c r="Y126" s="6"/>
    </row>
    <row r="127" ht="31.5" customHeight="1">
      <c r="A127" s="17">
        <v>125.0</v>
      </c>
      <c r="B127" s="10" t="s">
        <v>406</v>
      </c>
      <c r="C127" s="11" t="s">
        <v>407</v>
      </c>
      <c r="D127" s="12" t="s">
        <v>408</v>
      </c>
      <c r="E127" s="12"/>
      <c r="F127" s="12">
        <v>2023.0</v>
      </c>
      <c r="G127" s="14" t="s">
        <v>21</v>
      </c>
      <c r="H127" s="9"/>
      <c r="I127" s="11" t="s">
        <v>204</v>
      </c>
      <c r="J127" s="17"/>
      <c r="K127" s="9" t="s">
        <v>23</v>
      </c>
      <c r="L127" s="9" t="s">
        <v>24</v>
      </c>
      <c r="M127" s="11" t="s">
        <v>25</v>
      </c>
      <c r="N127" s="11" t="s">
        <v>26</v>
      </c>
      <c r="O127" s="9" t="s">
        <v>27</v>
      </c>
      <c r="P127" s="15">
        <f t="shared" si="1"/>
        <v>0</v>
      </c>
      <c r="Q127" s="16">
        <f t="shared" si="2"/>
        <v>0</v>
      </c>
      <c r="R127" s="6"/>
      <c r="S127" s="6"/>
      <c r="T127" s="6"/>
      <c r="U127" s="6"/>
      <c r="V127" s="6"/>
      <c r="W127" s="6"/>
      <c r="X127" s="6"/>
      <c r="Y127" s="6"/>
    </row>
    <row r="128" ht="31.5" customHeight="1">
      <c r="A128" s="17">
        <v>126.0</v>
      </c>
      <c r="B128" s="10" t="s">
        <v>409</v>
      </c>
      <c r="C128" s="11" t="s">
        <v>410</v>
      </c>
      <c r="D128" s="12" t="s">
        <v>411</v>
      </c>
      <c r="E128" s="13" t="s">
        <v>102</v>
      </c>
      <c r="F128" s="12">
        <v>2023.0</v>
      </c>
      <c r="G128" s="14" t="s">
        <v>21</v>
      </c>
      <c r="H128" s="9"/>
      <c r="I128" s="11" t="s">
        <v>22</v>
      </c>
      <c r="J128" s="9">
        <v>157.0</v>
      </c>
      <c r="K128" s="9" t="s">
        <v>23</v>
      </c>
      <c r="L128" s="9" t="s">
        <v>24</v>
      </c>
      <c r="M128" s="11" t="s">
        <v>25</v>
      </c>
      <c r="N128" s="11" t="s">
        <v>26</v>
      </c>
      <c r="O128" s="9" t="s">
        <v>27</v>
      </c>
      <c r="P128" s="15">
        <f t="shared" si="1"/>
        <v>28550</v>
      </c>
      <c r="Q128" s="16">
        <f t="shared" si="2"/>
        <v>57100</v>
      </c>
      <c r="R128" s="6"/>
      <c r="S128" s="6"/>
      <c r="T128" s="6"/>
      <c r="U128" s="6"/>
      <c r="V128" s="6"/>
      <c r="W128" s="6"/>
      <c r="X128" s="6"/>
      <c r="Y128" s="6"/>
    </row>
    <row r="129" ht="31.5" customHeight="1">
      <c r="A129" s="17">
        <v>127.0</v>
      </c>
      <c r="B129" s="10" t="s">
        <v>412</v>
      </c>
      <c r="C129" s="11" t="s">
        <v>413</v>
      </c>
      <c r="D129" s="12" t="s">
        <v>414</v>
      </c>
      <c r="E129" s="12"/>
      <c r="F129" s="12">
        <v>2023.0</v>
      </c>
      <c r="G129" s="14" t="s">
        <v>21</v>
      </c>
      <c r="H129" s="9"/>
      <c r="I129" s="11" t="s">
        <v>22</v>
      </c>
      <c r="J129" s="9">
        <v>171.0</v>
      </c>
      <c r="K129" s="9" t="s">
        <v>23</v>
      </c>
      <c r="L129" s="9" t="s">
        <v>24</v>
      </c>
      <c r="M129" s="11" t="s">
        <v>25</v>
      </c>
      <c r="N129" s="11" t="s">
        <v>26</v>
      </c>
      <c r="O129" s="9" t="s">
        <v>27</v>
      </c>
      <c r="P129" s="15">
        <f t="shared" si="1"/>
        <v>30650</v>
      </c>
      <c r="Q129" s="16">
        <f t="shared" si="2"/>
        <v>61300</v>
      </c>
      <c r="R129" s="6"/>
      <c r="S129" s="6"/>
      <c r="T129" s="6"/>
      <c r="U129" s="6"/>
      <c r="V129" s="6"/>
      <c r="W129" s="6"/>
      <c r="X129" s="6"/>
      <c r="Y129" s="6"/>
    </row>
    <row r="130" ht="31.5" customHeight="1">
      <c r="A130" s="17">
        <v>128.0</v>
      </c>
      <c r="B130" s="10" t="s">
        <v>415</v>
      </c>
      <c r="C130" s="11" t="s">
        <v>416</v>
      </c>
      <c r="D130" s="12" t="s">
        <v>417</v>
      </c>
      <c r="E130" s="12"/>
      <c r="F130" s="12">
        <v>2023.0</v>
      </c>
      <c r="G130" s="14" t="s">
        <v>21</v>
      </c>
      <c r="H130" s="9"/>
      <c r="I130" s="11" t="s">
        <v>22</v>
      </c>
      <c r="J130" s="9">
        <v>217.0</v>
      </c>
      <c r="K130" s="9" t="s">
        <v>23</v>
      </c>
      <c r="L130" s="9" t="s">
        <v>24</v>
      </c>
      <c r="M130" s="11" t="s">
        <v>25</v>
      </c>
      <c r="N130" s="11" t="s">
        <v>26</v>
      </c>
      <c r="O130" s="9" t="s">
        <v>27</v>
      </c>
      <c r="P130" s="15">
        <f t="shared" si="1"/>
        <v>37550</v>
      </c>
      <c r="Q130" s="16">
        <f t="shared" si="2"/>
        <v>75100</v>
      </c>
      <c r="R130" s="6"/>
      <c r="S130" s="6"/>
      <c r="T130" s="6"/>
      <c r="U130" s="6"/>
      <c r="V130" s="6"/>
      <c r="W130" s="6"/>
      <c r="X130" s="6"/>
      <c r="Y130" s="6"/>
    </row>
    <row r="131" ht="31.5" customHeight="1">
      <c r="A131" s="17">
        <v>129.0</v>
      </c>
      <c r="B131" s="10" t="s">
        <v>418</v>
      </c>
      <c r="C131" s="11" t="s">
        <v>419</v>
      </c>
      <c r="D131" s="12" t="s">
        <v>420</v>
      </c>
      <c r="E131" s="13" t="s">
        <v>102</v>
      </c>
      <c r="F131" s="12">
        <v>2023.0</v>
      </c>
      <c r="G131" s="14" t="s">
        <v>21</v>
      </c>
      <c r="H131" s="9"/>
      <c r="I131" s="11" t="s">
        <v>22</v>
      </c>
      <c r="J131" s="9">
        <v>187.0</v>
      </c>
      <c r="K131" s="9" t="s">
        <v>23</v>
      </c>
      <c r="L131" s="9" t="s">
        <v>24</v>
      </c>
      <c r="M131" s="11" t="s">
        <v>25</v>
      </c>
      <c r="N131" s="11" t="s">
        <v>26</v>
      </c>
      <c r="O131" s="9" t="s">
        <v>27</v>
      </c>
      <c r="P131" s="15">
        <f t="shared" si="1"/>
        <v>33050</v>
      </c>
      <c r="Q131" s="16">
        <f t="shared" si="2"/>
        <v>66100</v>
      </c>
      <c r="R131" s="6"/>
      <c r="S131" s="6"/>
      <c r="T131" s="6"/>
      <c r="U131" s="6"/>
      <c r="V131" s="6"/>
      <c r="W131" s="6"/>
      <c r="X131" s="6"/>
      <c r="Y131" s="6"/>
    </row>
    <row r="132" ht="31.5" customHeight="1">
      <c r="A132" s="17">
        <v>130.0</v>
      </c>
      <c r="B132" s="10" t="s">
        <v>421</v>
      </c>
      <c r="C132" s="11" t="s">
        <v>422</v>
      </c>
      <c r="D132" s="12" t="s">
        <v>423</v>
      </c>
      <c r="E132" s="12"/>
      <c r="F132" s="12">
        <v>2023.0</v>
      </c>
      <c r="G132" s="14" t="s">
        <v>21</v>
      </c>
      <c r="H132" s="9"/>
      <c r="I132" s="11" t="s">
        <v>22</v>
      </c>
      <c r="J132" s="9">
        <v>115.0</v>
      </c>
      <c r="K132" s="9" t="s">
        <v>23</v>
      </c>
      <c r="L132" s="9" t="s">
        <v>24</v>
      </c>
      <c r="M132" s="11" t="s">
        <v>25</v>
      </c>
      <c r="N132" s="11" t="s">
        <v>26</v>
      </c>
      <c r="O132" s="9" t="s">
        <v>27</v>
      </c>
      <c r="P132" s="15">
        <f t="shared" si="1"/>
        <v>22250</v>
      </c>
      <c r="Q132" s="16">
        <f t="shared" si="2"/>
        <v>44500</v>
      </c>
      <c r="R132" s="6"/>
      <c r="S132" s="6"/>
      <c r="T132" s="6"/>
      <c r="U132" s="6"/>
      <c r="V132" s="6"/>
      <c r="W132" s="6"/>
      <c r="X132" s="6"/>
      <c r="Y132" s="6"/>
    </row>
    <row r="133" ht="31.5" customHeight="1">
      <c r="A133" s="17">
        <v>131.0</v>
      </c>
      <c r="B133" s="10" t="s">
        <v>424</v>
      </c>
      <c r="C133" s="11" t="s">
        <v>425</v>
      </c>
      <c r="D133" s="12" t="s">
        <v>426</v>
      </c>
      <c r="E133" s="12"/>
      <c r="F133" s="12">
        <v>2023.0</v>
      </c>
      <c r="G133" s="14" t="s">
        <v>21</v>
      </c>
      <c r="H133" s="9"/>
      <c r="I133" s="11" t="s">
        <v>22</v>
      </c>
      <c r="J133" s="9">
        <v>143.0</v>
      </c>
      <c r="K133" s="9" t="s">
        <v>23</v>
      </c>
      <c r="L133" s="9" t="s">
        <v>24</v>
      </c>
      <c r="M133" s="11" t="s">
        <v>25</v>
      </c>
      <c r="N133" s="11" t="s">
        <v>26</v>
      </c>
      <c r="O133" s="9" t="s">
        <v>27</v>
      </c>
      <c r="P133" s="15">
        <f t="shared" si="1"/>
        <v>26450</v>
      </c>
      <c r="Q133" s="16">
        <f t="shared" si="2"/>
        <v>52900</v>
      </c>
      <c r="R133" s="6"/>
      <c r="S133" s="6"/>
      <c r="T133" s="6"/>
      <c r="U133" s="6"/>
      <c r="V133" s="6"/>
      <c r="W133" s="6"/>
      <c r="X133" s="6"/>
      <c r="Y133" s="6"/>
    </row>
    <row r="134" ht="31.5" customHeight="1">
      <c r="A134" s="17">
        <v>132.0</v>
      </c>
      <c r="B134" s="10" t="s">
        <v>427</v>
      </c>
      <c r="C134" s="11" t="s">
        <v>428</v>
      </c>
      <c r="D134" s="12" t="s">
        <v>429</v>
      </c>
      <c r="E134" s="12"/>
      <c r="F134" s="12">
        <v>2023.0</v>
      </c>
      <c r="G134" s="14" t="s">
        <v>21</v>
      </c>
      <c r="H134" s="9"/>
      <c r="I134" s="11" t="s">
        <v>74</v>
      </c>
      <c r="J134" s="9">
        <v>108.0</v>
      </c>
      <c r="K134" s="9" t="s">
        <v>23</v>
      </c>
      <c r="L134" s="9" t="s">
        <v>24</v>
      </c>
      <c r="M134" s="11" t="s">
        <v>25</v>
      </c>
      <c r="N134" s="11" t="s">
        <v>26</v>
      </c>
      <c r="O134" s="9" t="s">
        <v>27</v>
      </c>
      <c r="P134" s="15">
        <f t="shared" si="1"/>
        <v>27440</v>
      </c>
      <c r="Q134" s="16">
        <f t="shared" si="2"/>
        <v>54880</v>
      </c>
      <c r="R134" s="6"/>
      <c r="S134" s="6"/>
      <c r="T134" s="6"/>
      <c r="U134" s="6"/>
      <c r="V134" s="6"/>
      <c r="W134" s="6"/>
      <c r="X134" s="6"/>
      <c r="Y134" s="6"/>
    </row>
    <row r="135" ht="31.5" customHeight="1">
      <c r="A135" s="17">
        <v>133.0</v>
      </c>
      <c r="B135" s="10" t="s">
        <v>430</v>
      </c>
      <c r="C135" s="11" t="s">
        <v>431</v>
      </c>
      <c r="D135" s="12" t="s">
        <v>432</v>
      </c>
      <c r="E135" s="13" t="s">
        <v>203</v>
      </c>
      <c r="F135" s="12">
        <v>2023.0</v>
      </c>
      <c r="G135" s="14" t="s">
        <v>21</v>
      </c>
      <c r="H135" s="9"/>
      <c r="I135" s="11" t="s">
        <v>74</v>
      </c>
      <c r="J135" s="9">
        <v>122.0</v>
      </c>
      <c r="K135" s="9" t="s">
        <v>23</v>
      </c>
      <c r="L135" s="9" t="s">
        <v>24</v>
      </c>
      <c r="M135" s="11" t="s">
        <v>25</v>
      </c>
      <c r="N135" s="11" t="s">
        <v>26</v>
      </c>
      <c r="O135" s="9" t="s">
        <v>27</v>
      </c>
      <c r="P135" s="15">
        <f t="shared" si="1"/>
        <v>29960</v>
      </c>
      <c r="Q135" s="16">
        <f t="shared" si="2"/>
        <v>59920</v>
      </c>
      <c r="R135" s="6"/>
      <c r="S135" s="6"/>
      <c r="T135" s="6"/>
      <c r="U135" s="6"/>
      <c r="V135" s="6"/>
      <c r="W135" s="6"/>
      <c r="X135" s="6"/>
      <c r="Y135" s="6"/>
    </row>
    <row r="136" ht="31.5" customHeight="1">
      <c r="A136" s="17">
        <v>134.0</v>
      </c>
      <c r="B136" s="10" t="s">
        <v>433</v>
      </c>
      <c r="C136" s="11" t="s">
        <v>434</v>
      </c>
      <c r="D136" s="12" t="s">
        <v>435</v>
      </c>
      <c r="E136" s="12" t="s">
        <v>122</v>
      </c>
      <c r="F136" s="12">
        <v>2023.0</v>
      </c>
      <c r="G136" s="14" t="s">
        <v>21</v>
      </c>
      <c r="H136" s="9"/>
      <c r="I136" s="11" t="s">
        <v>74</v>
      </c>
      <c r="J136" s="9">
        <v>114.0</v>
      </c>
      <c r="K136" s="9" t="s">
        <v>23</v>
      </c>
      <c r="L136" s="9" t="s">
        <v>24</v>
      </c>
      <c r="M136" s="11" t="s">
        <v>25</v>
      </c>
      <c r="N136" s="11" t="s">
        <v>26</v>
      </c>
      <c r="O136" s="9" t="s">
        <v>27</v>
      </c>
      <c r="P136" s="15">
        <f t="shared" si="1"/>
        <v>28520</v>
      </c>
      <c r="Q136" s="16">
        <f t="shared" si="2"/>
        <v>57040</v>
      </c>
      <c r="R136" s="6"/>
      <c r="S136" s="6"/>
      <c r="T136" s="6"/>
      <c r="U136" s="6"/>
      <c r="V136" s="6"/>
      <c r="W136" s="6"/>
      <c r="X136" s="6"/>
      <c r="Y136" s="6"/>
    </row>
    <row r="137" ht="31.5" customHeight="1">
      <c r="A137" s="17">
        <v>135.0</v>
      </c>
      <c r="B137" s="10" t="s">
        <v>436</v>
      </c>
      <c r="C137" s="11" t="s">
        <v>437</v>
      </c>
      <c r="D137" s="12" t="s">
        <v>438</v>
      </c>
      <c r="E137" s="13" t="s">
        <v>439</v>
      </c>
      <c r="F137" s="12">
        <v>2023.0</v>
      </c>
      <c r="G137" s="14" t="s">
        <v>21</v>
      </c>
      <c r="H137" s="9"/>
      <c r="I137" s="11" t="s">
        <v>74</v>
      </c>
      <c r="J137" s="9">
        <v>155.0</v>
      </c>
      <c r="K137" s="9" t="s">
        <v>23</v>
      </c>
      <c r="L137" s="9" t="s">
        <v>24</v>
      </c>
      <c r="M137" s="11" t="s">
        <v>25</v>
      </c>
      <c r="N137" s="11" t="s">
        <v>26</v>
      </c>
      <c r="O137" s="9" t="s">
        <v>27</v>
      </c>
      <c r="P137" s="15">
        <f t="shared" si="1"/>
        <v>35900</v>
      </c>
      <c r="Q137" s="16">
        <f t="shared" si="2"/>
        <v>71800</v>
      </c>
      <c r="R137" s="6"/>
      <c r="S137" s="6"/>
      <c r="T137" s="6"/>
      <c r="U137" s="6"/>
      <c r="V137" s="6"/>
      <c r="W137" s="6"/>
      <c r="X137" s="6"/>
      <c r="Y137" s="6"/>
    </row>
    <row r="138" ht="31.5" customHeight="1">
      <c r="A138" s="17">
        <v>136.0</v>
      </c>
      <c r="B138" s="10" t="s">
        <v>440</v>
      </c>
      <c r="C138" s="11" t="s">
        <v>441</v>
      </c>
      <c r="D138" s="12" t="s">
        <v>442</v>
      </c>
      <c r="E138" s="12"/>
      <c r="F138" s="12">
        <v>2023.0</v>
      </c>
      <c r="G138" s="14" t="s">
        <v>21</v>
      </c>
      <c r="H138" s="9"/>
      <c r="I138" s="11" t="s">
        <v>22</v>
      </c>
      <c r="J138" s="9">
        <v>249.0</v>
      </c>
      <c r="K138" s="9" t="s">
        <v>23</v>
      </c>
      <c r="L138" s="9" t="s">
        <v>24</v>
      </c>
      <c r="M138" s="11" t="s">
        <v>25</v>
      </c>
      <c r="N138" s="11" t="s">
        <v>26</v>
      </c>
      <c r="O138" s="9" t="s">
        <v>27</v>
      </c>
      <c r="P138" s="15">
        <f t="shared" si="1"/>
        <v>42350</v>
      </c>
      <c r="Q138" s="16">
        <f t="shared" si="2"/>
        <v>84700</v>
      </c>
      <c r="R138" s="6"/>
      <c r="S138" s="6"/>
      <c r="T138" s="6"/>
      <c r="U138" s="6"/>
      <c r="V138" s="6"/>
      <c r="W138" s="6"/>
      <c r="X138" s="6"/>
      <c r="Y138" s="6"/>
    </row>
    <row r="139" ht="31.5" customHeight="1">
      <c r="A139" s="17">
        <v>137.0</v>
      </c>
      <c r="B139" s="10" t="s">
        <v>443</v>
      </c>
      <c r="C139" s="11" t="s">
        <v>444</v>
      </c>
      <c r="D139" s="12" t="s">
        <v>445</v>
      </c>
      <c r="E139" s="13" t="s">
        <v>81</v>
      </c>
      <c r="F139" s="12">
        <v>2023.0</v>
      </c>
      <c r="G139" s="14" t="s">
        <v>21</v>
      </c>
      <c r="H139" s="9"/>
      <c r="I139" s="11" t="s">
        <v>22</v>
      </c>
      <c r="J139" s="9">
        <v>79.0</v>
      </c>
      <c r="K139" s="9" t="s">
        <v>23</v>
      </c>
      <c r="L139" s="9" t="s">
        <v>24</v>
      </c>
      <c r="M139" s="11" t="s">
        <v>25</v>
      </c>
      <c r="N139" s="11" t="s">
        <v>26</v>
      </c>
      <c r="O139" s="9" t="s">
        <v>27</v>
      </c>
      <c r="P139" s="15">
        <f t="shared" si="1"/>
        <v>16850</v>
      </c>
      <c r="Q139" s="16">
        <f t="shared" si="2"/>
        <v>33700</v>
      </c>
      <c r="R139" s="6"/>
      <c r="S139" s="6"/>
      <c r="T139" s="6"/>
      <c r="U139" s="6"/>
      <c r="V139" s="6"/>
      <c r="W139" s="6"/>
      <c r="X139" s="6"/>
      <c r="Y139" s="6"/>
    </row>
    <row r="140" ht="31.5" customHeight="1">
      <c r="A140" s="17">
        <v>138.0</v>
      </c>
      <c r="B140" s="10" t="s">
        <v>446</v>
      </c>
      <c r="C140" s="11" t="s">
        <v>447</v>
      </c>
      <c r="D140" s="12" t="s">
        <v>448</v>
      </c>
      <c r="E140" s="12"/>
      <c r="F140" s="12">
        <v>2023.0</v>
      </c>
      <c r="G140" s="14" t="s">
        <v>21</v>
      </c>
      <c r="H140" s="9"/>
      <c r="I140" s="11" t="s">
        <v>22</v>
      </c>
      <c r="J140" s="9">
        <v>96.0</v>
      </c>
      <c r="K140" s="9" t="s">
        <v>23</v>
      </c>
      <c r="L140" s="9" t="s">
        <v>24</v>
      </c>
      <c r="M140" s="11" t="s">
        <v>25</v>
      </c>
      <c r="N140" s="11" t="s">
        <v>26</v>
      </c>
      <c r="O140" s="9" t="s">
        <v>27</v>
      </c>
      <c r="P140" s="15">
        <f t="shared" si="1"/>
        <v>19400</v>
      </c>
      <c r="Q140" s="16">
        <f t="shared" si="2"/>
        <v>38800</v>
      </c>
      <c r="R140" s="6"/>
      <c r="S140" s="6"/>
      <c r="T140" s="6"/>
      <c r="U140" s="6"/>
      <c r="V140" s="6"/>
      <c r="W140" s="6"/>
      <c r="X140" s="6"/>
      <c r="Y140" s="6"/>
    </row>
    <row r="141" ht="31.5" customHeight="1">
      <c r="A141" s="17">
        <v>139.0</v>
      </c>
      <c r="B141" s="10" t="s">
        <v>449</v>
      </c>
      <c r="C141" s="11" t="s">
        <v>450</v>
      </c>
      <c r="D141" s="12" t="s">
        <v>451</v>
      </c>
      <c r="E141" s="13" t="s">
        <v>439</v>
      </c>
      <c r="F141" s="12">
        <v>2022.0</v>
      </c>
      <c r="G141" s="14" t="s">
        <v>21</v>
      </c>
      <c r="H141" s="9"/>
      <c r="I141" s="11" t="s">
        <v>22</v>
      </c>
      <c r="J141" s="9">
        <v>150.0</v>
      </c>
      <c r="K141" s="9" t="s">
        <v>23</v>
      </c>
      <c r="L141" s="9" t="s">
        <v>24</v>
      </c>
      <c r="M141" s="11" t="s">
        <v>25</v>
      </c>
      <c r="N141" s="11" t="s">
        <v>26</v>
      </c>
      <c r="O141" s="9" t="s">
        <v>27</v>
      </c>
      <c r="P141" s="15">
        <f t="shared" si="1"/>
        <v>27500</v>
      </c>
      <c r="Q141" s="16">
        <f t="shared" si="2"/>
        <v>55000</v>
      </c>
      <c r="R141" s="6"/>
      <c r="S141" s="6"/>
      <c r="T141" s="6"/>
      <c r="U141" s="6"/>
      <c r="V141" s="6"/>
      <c r="W141" s="6"/>
      <c r="X141" s="6"/>
      <c r="Y141" s="6"/>
    </row>
    <row r="142" ht="31.5" customHeight="1">
      <c r="A142" s="17">
        <v>140.0</v>
      </c>
      <c r="B142" s="10" t="s">
        <v>452</v>
      </c>
      <c r="C142" s="11" t="s">
        <v>453</v>
      </c>
      <c r="D142" s="12" t="s">
        <v>454</v>
      </c>
      <c r="E142" s="12"/>
      <c r="F142" s="12">
        <v>2022.0</v>
      </c>
      <c r="G142" s="14" t="s">
        <v>21</v>
      </c>
      <c r="H142" s="9"/>
      <c r="I142" s="11" t="s">
        <v>74</v>
      </c>
      <c r="J142" s="9">
        <v>249.0</v>
      </c>
      <c r="K142" s="9" t="s">
        <v>23</v>
      </c>
      <c r="L142" s="9" t="s">
        <v>24</v>
      </c>
      <c r="M142" s="11" t="s">
        <v>25</v>
      </c>
      <c r="N142" s="11" t="s">
        <v>26</v>
      </c>
      <c r="O142" s="9" t="s">
        <v>27</v>
      </c>
      <c r="P142" s="15">
        <f t="shared" si="1"/>
        <v>52820</v>
      </c>
      <c r="Q142" s="16">
        <f t="shared" si="2"/>
        <v>105640</v>
      </c>
      <c r="R142" s="6"/>
      <c r="S142" s="6"/>
      <c r="T142" s="6"/>
      <c r="U142" s="6"/>
      <c r="V142" s="6"/>
      <c r="W142" s="6"/>
      <c r="X142" s="6"/>
      <c r="Y142" s="6"/>
    </row>
    <row r="143" ht="31.5" customHeight="1">
      <c r="A143" s="17">
        <v>141.0</v>
      </c>
      <c r="B143" s="10" t="s">
        <v>455</v>
      </c>
      <c r="C143" s="11" t="s">
        <v>456</v>
      </c>
      <c r="D143" s="12" t="s">
        <v>457</v>
      </c>
      <c r="E143" s="12"/>
      <c r="F143" s="12">
        <v>2022.0</v>
      </c>
      <c r="G143" s="14" t="s">
        <v>21</v>
      </c>
      <c r="H143" s="9"/>
      <c r="I143" s="11" t="s">
        <v>22</v>
      </c>
      <c r="J143" s="9">
        <v>127.0</v>
      </c>
      <c r="K143" s="9" t="s">
        <v>23</v>
      </c>
      <c r="L143" s="9" t="s">
        <v>24</v>
      </c>
      <c r="M143" s="11" t="s">
        <v>25</v>
      </c>
      <c r="N143" s="11" t="s">
        <v>26</v>
      </c>
      <c r="O143" s="9" t="s">
        <v>27</v>
      </c>
      <c r="P143" s="15">
        <f t="shared" si="1"/>
        <v>24050</v>
      </c>
      <c r="Q143" s="16">
        <f t="shared" si="2"/>
        <v>48100</v>
      </c>
      <c r="R143" s="6"/>
      <c r="S143" s="6"/>
      <c r="T143" s="6"/>
      <c r="U143" s="6"/>
      <c r="V143" s="6"/>
      <c r="W143" s="6"/>
      <c r="X143" s="6"/>
      <c r="Y143" s="6"/>
    </row>
    <row r="144" ht="31.5" customHeight="1">
      <c r="A144" s="17">
        <v>142.0</v>
      </c>
      <c r="B144" s="10" t="s">
        <v>458</v>
      </c>
      <c r="C144" s="11" t="s">
        <v>459</v>
      </c>
      <c r="D144" s="12" t="s">
        <v>460</v>
      </c>
      <c r="E144" s="12"/>
      <c r="F144" s="12">
        <v>2022.0</v>
      </c>
      <c r="G144" s="14" t="s">
        <v>21</v>
      </c>
      <c r="H144" s="9"/>
      <c r="I144" s="11" t="s">
        <v>74</v>
      </c>
      <c r="J144" s="9">
        <v>159.0</v>
      </c>
      <c r="K144" s="9" t="s">
        <v>23</v>
      </c>
      <c r="L144" s="9" t="s">
        <v>24</v>
      </c>
      <c r="M144" s="11" t="s">
        <v>25</v>
      </c>
      <c r="N144" s="11" t="s">
        <v>26</v>
      </c>
      <c r="O144" s="9" t="s">
        <v>27</v>
      </c>
      <c r="P144" s="15">
        <f t="shared" si="1"/>
        <v>36620</v>
      </c>
      <c r="Q144" s="16">
        <f t="shared" si="2"/>
        <v>73240</v>
      </c>
      <c r="R144" s="6"/>
      <c r="S144" s="6"/>
      <c r="T144" s="6"/>
      <c r="U144" s="6"/>
      <c r="V144" s="6"/>
      <c r="W144" s="6"/>
      <c r="X144" s="6"/>
      <c r="Y144" s="6"/>
    </row>
    <row r="145" ht="31.5" customHeight="1">
      <c r="A145" s="17">
        <v>143.0</v>
      </c>
      <c r="B145" s="10" t="s">
        <v>461</v>
      </c>
      <c r="C145" s="11" t="s">
        <v>462</v>
      </c>
      <c r="D145" s="12" t="s">
        <v>463</v>
      </c>
      <c r="E145" s="12"/>
      <c r="F145" s="12">
        <v>2022.0</v>
      </c>
      <c r="G145" s="14" t="s">
        <v>21</v>
      </c>
      <c r="H145" s="9"/>
      <c r="I145" s="11" t="s">
        <v>22</v>
      </c>
      <c r="J145" s="9">
        <v>98.0</v>
      </c>
      <c r="K145" s="9" t="s">
        <v>23</v>
      </c>
      <c r="L145" s="9" t="s">
        <v>24</v>
      </c>
      <c r="M145" s="11" t="s">
        <v>25</v>
      </c>
      <c r="N145" s="11" t="s">
        <v>26</v>
      </c>
      <c r="O145" s="9" t="s">
        <v>27</v>
      </c>
      <c r="P145" s="15">
        <f t="shared" si="1"/>
        <v>19700</v>
      </c>
      <c r="Q145" s="16">
        <f t="shared" si="2"/>
        <v>39400</v>
      </c>
      <c r="R145" s="6"/>
      <c r="S145" s="6"/>
      <c r="T145" s="6"/>
      <c r="U145" s="6"/>
      <c r="V145" s="6"/>
      <c r="W145" s="6"/>
      <c r="X145" s="6"/>
      <c r="Y145" s="6"/>
    </row>
    <row r="146" ht="31.5" customHeight="1">
      <c r="A146" s="17">
        <v>144.0</v>
      </c>
      <c r="B146" s="10" t="s">
        <v>464</v>
      </c>
      <c r="C146" s="11" t="s">
        <v>465</v>
      </c>
      <c r="D146" s="12" t="s">
        <v>466</v>
      </c>
      <c r="E146" s="13" t="s">
        <v>467</v>
      </c>
      <c r="F146" s="12">
        <v>2022.0</v>
      </c>
      <c r="G146" s="14" t="s">
        <v>21</v>
      </c>
      <c r="H146" s="9"/>
      <c r="I146" s="11" t="s">
        <v>74</v>
      </c>
      <c r="J146" s="9">
        <v>134.0</v>
      </c>
      <c r="K146" s="9" t="s">
        <v>23</v>
      </c>
      <c r="L146" s="9" t="s">
        <v>24</v>
      </c>
      <c r="M146" s="11" t="s">
        <v>25</v>
      </c>
      <c r="N146" s="11" t="s">
        <v>26</v>
      </c>
      <c r="O146" s="9" t="s">
        <v>27</v>
      </c>
      <c r="P146" s="15">
        <f t="shared" si="1"/>
        <v>32120</v>
      </c>
      <c r="Q146" s="16">
        <f t="shared" si="2"/>
        <v>64240</v>
      </c>
      <c r="R146" s="6"/>
      <c r="S146" s="6"/>
      <c r="T146" s="6"/>
      <c r="U146" s="6"/>
      <c r="V146" s="6"/>
      <c r="W146" s="6"/>
      <c r="X146" s="6"/>
      <c r="Y146" s="6"/>
    </row>
    <row r="147" ht="31.5" customHeight="1">
      <c r="A147" s="17">
        <v>145.0</v>
      </c>
      <c r="B147" s="10" t="s">
        <v>468</v>
      </c>
      <c r="C147" s="11" t="s">
        <v>469</v>
      </c>
      <c r="D147" s="12" t="s">
        <v>470</v>
      </c>
      <c r="E147" s="12"/>
      <c r="F147" s="12">
        <v>2022.0</v>
      </c>
      <c r="G147" s="14" t="s">
        <v>21</v>
      </c>
      <c r="H147" s="9"/>
      <c r="I147" s="11" t="s">
        <v>22</v>
      </c>
      <c r="J147" s="9">
        <v>86.0</v>
      </c>
      <c r="K147" s="9" t="s">
        <v>23</v>
      </c>
      <c r="L147" s="9" t="s">
        <v>24</v>
      </c>
      <c r="M147" s="11" t="s">
        <v>25</v>
      </c>
      <c r="N147" s="11" t="s">
        <v>26</v>
      </c>
      <c r="O147" s="9" t="s">
        <v>27</v>
      </c>
      <c r="P147" s="15">
        <f t="shared" si="1"/>
        <v>17900</v>
      </c>
      <c r="Q147" s="16">
        <f t="shared" si="2"/>
        <v>35800</v>
      </c>
      <c r="R147" s="6"/>
      <c r="S147" s="6"/>
      <c r="T147" s="6"/>
      <c r="U147" s="6"/>
      <c r="V147" s="6"/>
      <c r="W147" s="6"/>
      <c r="X147" s="6"/>
      <c r="Y147" s="6"/>
    </row>
    <row r="148" ht="31.5" customHeight="1">
      <c r="A148" s="17">
        <v>146.0</v>
      </c>
      <c r="B148" s="10" t="s">
        <v>471</v>
      </c>
      <c r="C148" s="11" t="s">
        <v>472</v>
      </c>
      <c r="D148" s="12" t="s">
        <v>473</v>
      </c>
      <c r="E148" s="12"/>
      <c r="F148" s="12">
        <v>2022.0</v>
      </c>
      <c r="G148" s="14" t="s">
        <v>21</v>
      </c>
      <c r="H148" s="9"/>
      <c r="I148" s="11" t="s">
        <v>22</v>
      </c>
      <c r="J148" s="9">
        <v>416.0</v>
      </c>
      <c r="K148" s="9" t="s">
        <v>23</v>
      </c>
      <c r="L148" s="9" t="s">
        <v>24</v>
      </c>
      <c r="M148" s="11" t="s">
        <v>25</v>
      </c>
      <c r="N148" s="11" t="s">
        <v>26</v>
      </c>
      <c r="O148" s="9" t="s">
        <v>27</v>
      </c>
      <c r="P148" s="15">
        <f t="shared" si="1"/>
        <v>67400</v>
      </c>
      <c r="Q148" s="16">
        <f t="shared" si="2"/>
        <v>134800</v>
      </c>
      <c r="R148" s="6"/>
      <c r="S148" s="6"/>
      <c r="T148" s="6"/>
      <c r="U148" s="6"/>
      <c r="V148" s="6"/>
      <c r="W148" s="6"/>
      <c r="X148" s="6"/>
      <c r="Y148" s="6"/>
    </row>
    <row r="149" ht="31.5" customHeight="1">
      <c r="A149" s="17">
        <v>147.0</v>
      </c>
      <c r="B149" s="10" t="s">
        <v>474</v>
      </c>
      <c r="C149" s="11" t="s">
        <v>475</v>
      </c>
      <c r="D149" s="12" t="s">
        <v>476</v>
      </c>
      <c r="E149" s="12"/>
      <c r="F149" s="12">
        <v>2022.0</v>
      </c>
      <c r="G149" s="14" t="s">
        <v>21</v>
      </c>
      <c r="H149" s="9"/>
      <c r="I149" s="11" t="s">
        <v>74</v>
      </c>
      <c r="J149" s="9">
        <v>84.0</v>
      </c>
      <c r="K149" s="9" t="s">
        <v>23</v>
      </c>
      <c r="L149" s="9" t="s">
        <v>24</v>
      </c>
      <c r="M149" s="11" t="s">
        <v>25</v>
      </c>
      <c r="N149" s="11" t="s">
        <v>26</v>
      </c>
      <c r="O149" s="9" t="s">
        <v>27</v>
      </c>
      <c r="P149" s="15">
        <f t="shared" si="1"/>
        <v>23120</v>
      </c>
      <c r="Q149" s="16">
        <f t="shared" si="2"/>
        <v>46240</v>
      </c>
      <c r="R149" s="6"/>
      <c r="S149" s="6"/>
      <c r="T149" s="6"/>
      <c r="U149" s="6"/>
      <c r="V149" s="6"/>
      <c r="W149" s="6"/>
      <c r="X149" s="6"/>
      <c r="Y149" s="6"/>
    </row>
    <row r="150" ht="31.5" customHeight="1">
      <c r="A150" s="17">
        <v>148.0</v>
      </c>
      <c r="B150" s="10" t="s">
        <v>477</v>
      </c>
      <c r="C150" s="11" t="s">
        <v>478</v>
      </c>
      <c r="D150" s="12" t="s">
        <v>479</v>
      </c>
      <c r="E150" s="12"/>
      <c r="F150" s="12">
        <v>2022.0</v>
      </c>
      <c r="G150" s="14" t="s">
        <v>21</v>
      </c>
      <c r="H150" s="9"/>
      <c r="I150" s="11" t="s">
        <v>22</v>
      </c>
      <c r="J150" s="9">
        <v>167.0</v>
      </c>
      <c r="K150" s="9" t="s">
        <v>23</v>
      </c>
      <c r="L150" s="9" t="s">
        <v>24</v>
      </c>
      <c r="M150" s="11" t="s">
        <v>25</v>
      </c>
      <c r="N150" s="11" t="s">
        <v>26</v>
      </c>
      <c r="O150" s="9" t="s">
        <v>27</v>
      </c>
      <c r="P150" s="15">
        <f t="shared" si="1"/>
        <v>30050</v>
      </c>
      <c r="Q150" s="16">
        <f t="shared" si="2"/>
        <v>60100</v>
      </c>
      <c r="R150" s="6"/>
      <c r="S150" s="6"/>
      <c r="T150" s="6"/>
      <c r="U150" s="6"/>
      <c r="V150" s="6"/>
      <c r="W150" s="6"/>
      <c r="X150" s="6"/>
      <c r="Y150" s="6"/>
    </row>
    <row r="151" ht="31.5" customHeight="1">
      <c r="A151" s="17">
        <v>149.0</v>
      </c>
      <c r="B151" s="10" t="s">
        <v>480</v>
      </c>
      <c r="C151" s="11" t="s">
        <v>481</v>
      </c>
      <c r="D151" s="12" t="s">
        <v>482</v>
      </c>
      <c r="E151" s="12"/>
      <c r="F151" s="12">
        <v>2022.0</v>
      </c>
      <c r="G151" s="14" t="s">
        <v>21</v>
      </c>
      <c r="H151" s="9"/>
      <c r="I151" s="11" t="s">
        <v>74</v>
      </c>
      <c r="J151" s="9">
        <v>90.0</v>
      </c>
      <c r="K151" s="9" t="s">
        <v>23</v>
      </c>
      <c r="L151" s="9" t="s">
        <v>24</v>
      </c>
      <c r="M151" s="11" t="s">
        <v>25</v>
      </c>
      <c r="N151" s="11" t="s">
        <v>26</v>
      </c>
      <c r="O151" s="9" t="s">
        <v>27</v>
      </c>
      <c r="P151" s="15">
        <f t="shared" si="1"/>
        <v>24200</v>
      </c>
      <c r="Q151" s="16">
        <f t="shared" si="2"/>
        <v>48400</v>
      </c>
      <c r="R151" s="6"/>
      <c r="S151" s="6"/>
      <c r="T151" s="6"/>
      <c r="U151" s="6"/>
      <c r="V151" s="6"/>
      <c r="W151" s="6"/>
      <c r="X151" s="6"/>
      <c r="Y151" s="6"/>
    </row>
    <row r="152" ht="31.5" customHeight="1">
      <c r="A152" s="17">
        <v>150.0</v>
      </c>
      <c r="B152" s="10" t="s">
        <v>483</v>
      </c>
      <c r="C152" s="11" t="s">
        <v>484</v>
      </c>
      <c r="D152" s="12" t="s">
        <v>485</v>
      </c>
      <c r="E152" s="12"/>
      <c r="F152" s="12">
        <v>2022.0</v>
      </c>
      <c r="G152" s="14" t="s">
        <v>21</v>
      </c>
      <c r="H152" s="9"/>
      <c r="I152" s="11" t="s">
        <v>22</v>
      </c>
      <c r="J152" s="9">
        <v>184.0</v>
      </c>
      <c r="K152" s="9" t="s">
        <v>23</v>
      </c>
      <c r="L152" s="9" t="s">
        <v>24</v>
      </c>
      <c r="M152" s="11" t="s">
        <v>25</v>
      </c>
      <c r="N152" s="11" t="s">
        <v>26</v>
      </c>
      <c r="O152" s="9" t="s">
        <v>27</v>
      </c>
      <c r="P152" s="15">
        <f t="shared" si="1"/>
        <v>32600</v>
      </c>
      <c r="Q152" s="16">
        <f t="shared" si="2"/>
        <v>65200</v>
      </c>
      <c r="R152" s="6"/>
      <c r="S152" s="6"/>
      <c r="T152" s="6"/>
      <c r="U152" s="6"/>
      <c r="V152" s="6"/>
      <c r="W152" s="6"/>
      <c r="X152" s="6"/>
      <c r="Y152" s="6"/>
    </row>
    <row r="153" ht="31.5" customHeight="1">
      <c r="A153" s="17">
        <v>151.0</v>
      </c>
      <c r="B153" s="10" t="s">
        <v>486</v>
      </c>
      <c r="C153" s="11" t="s">
        <v>487</v>
      </c>
      <c r="D153" s="12" t="s">
        <v>488</v>
      </c>
      <c r="E153" s="12"/>
      <c r="F153" s="12">
        <v>2022.0</v>
      </c>
      <c r="G153" s="14" t="s">
        <v>21</v>
      </c>
      <c r="H153" s="9"/>
      <c r="I153" s="11" t="s">
        <v>74</v>
      </c>
      <c r="J153" s="9">
        <v>139.0</v>
      </c>
      <c r="K153" s="9" t="s">
        <v>23</v>
      </c>
      <c r="L153" s="9" t="s">
        <v>24</v>
      </c>
      <c r="M153" s="11" t="s">
        <v>25</v>
      </c>
      <c r="N153" s="11" t="s">
        <v>26</v>
      </c>
      <c r="O153" s="9" t="s">
        <v>27</v>
      </c>
      <c r="P153" s="15">
        <f t="shared" si="1"/>
        <v>33020</v>
      </c>
      <c r="Q153" s="16">
        <f t="shared" si="2"/>
        <v>66040</v>
      </c>
      <c r="R153" s="6"/>
      <c r="S153" s="6"/>
      <c r="T153" s="6"/>
      <c r="U153" s="6"/>
      <c r="V153" s="6"/>
      <c r="W153" s="6"/>
      <c r="X153" s="6"/>
      <c r="Y153" s="6"/>
    </row>
    <row r="154" ht="31.5" customHeight="1">
      <c r="A154" s="17">
        <v>152.0</v>
      </c>
      <c r="B154" s="10" t="s">
        <v>489</v>
      </c>
      <c r="C154" s="11" t="s">
        <v>490</v>
      </c>
      <c r="D154" s="12" t="s">
        <v>491</v>
      </c>
      <c r="E154" s="12"/>
      <c r="F154" s="12">
        <v>2022.0</v>
      </c>
      <c r="G154" s="14" t="s">
        <v>21</v>
      </c>
      <c r="H154" s="9"/>
      <c r="I154" s="11" t="s">
        <v>74</v>
      </c>
      <c r="J154" s="9">
        <v>166.0</v>
      </c>
      <c r="K154" s="9" t="s">
        <v>23</v>
      </c>
      <c r="L154" s="9" t="s">
        <v>24</v>
      </c>
      <c r="M154" s="11" t="s">
        <v>25</v>
      </c>
      <c r="N154" s="11" t="s">
        <v>26</v>
      </c>
      <c r="O154" s="9" t="s">
        <v>27</v>
      </c>
      <c r="P154" s="15">
        <f t="shared" si="1"/>
        <v>37880</v>
      </c>
      <c r="Q154" s="16">
        <f t="shared" si="2"/>
        <v>75760</v>
      </c>
      <c r="R154" s="6"/>
      <c r="S154" s="6"/>
      <c r="T154" s="6"/>
      <c r="U154" s="6"/>
      <c r="V154" s="6"/>
      <c r="W154" s="6"/>
      <c r="X154" s="6"/>
      <c r="Y154" s="6"/>
    </row>
    <row r="155" ht="31.5" customHeight="1">
      <c r="A155" s="17">
        <v>153.0</v>
      </c>
      <c r="B155" s="10" t="s">
        <v>492</v>
      </c>
      <c r="C155" s="11" t="s">
        <v>493</v>
      </c>
      <c r="D155" s="12" t="s">
        <v>494</v>
      </c>
      <c r="E155" s="12"/>
      <c r="F155" s="12">
        <v>2022.0</v>
      </c>
      <c r="G155" s="14" t="s">
        <v>21</v>
      </c>
      <c r="H155" s="9" t="s">
        <v>382</v>
      </c>
      <c r="I155" s="11" t="s">
        <v>22</v>
      </c>
      <c r="J155" s="9">
        <v>274.0</v>
      </c>
      <c r="K155" s="9" t="s">
        <v>23</v>
      </c>
      <c r="L155" s="9" t="s">
        <v>24</v>
      </c>
      <c r="M155" s="11" t="s">
        <v>25</v>
      </c>
      <c r="N155" s="11" t="s">
        <v>26</v>
      </c>
      <c r="O155" s="9" t="s">
        <v>27</v>
      </c>
      <c r="P155" s="15">
        <f t="shared" si="1"/>
        <v>46100</v>
      </c>
      <c r="Q155" s="16">
        <f t="shared" si="2"/>
        <v>92200</v>
      </c>
      <c r="R155" s="6"/>
      <c r="S155" s="6"/>
      <c r="T155" s="6"/>
      <c r="U155" s="6"/>
      <c r="V155" s="6"/>
      <c r="W155" s="6"/>
      <c r="X155" s="6"/>
      <c r="Y155" s="6"/>
    </row>
    <row r="156" ht="31.5" customHeight="1">
      <c r="A156" s="17">
        <v>154.0</v>
      </c>
      <c r="B156" s="10" t="s">
        <v>495</v>
      </c>
      <c r="C156" s="11" t="s">
        <v>496</v>
      </c>
      <c r="D156" s="12" t="s">
        <v>497</v>
      </c>
      <c r="E156" s="12"/>
      <c r="F156" s="12">
        <v>2022.0</v>
      </c>
      <c r="G156" s="14" t="s">
        <v>21</v>
      </c>
      <c r="H156" s="9"/>
      <c r="I156" s="11" t="s">
        <v>22</v>
      </c>
      <c r="J156" s="9">
        <v>72.0</v>
      </c>
      <c r="K156" s="9" t="s">
        <v>23</v>
      </c>
      <c r="L156" s="9" t="s">
        <v>24</v>
      </c>
      <c r="M156" s="11" t="s">
        <v>25</v>
      </c>
      <c r="N156" s="11" t="s">
        <v>26</v>
      </c>
      <c r="O156" s="9" t="s">
        <v>27</v>
      </c>
      <c r="P156" s="15">
        <f t="shared" si="1"/>
        <v>15800</v>
      </c>
      <c r="Q156" s="16">
        <f t="shared" si="2"/>
        <v>31600</v>
      </c>
      <c r="R156" s="6"/>
      <c r="S156" s="6"/>
      <c r="T156" s="6"/>
      <c r="U156" s="6"/>
      <c r="V156" s="6"/>
      <c r="W156" s="6"/>
      <c r="X156" s="6"/>
      <c r="Y156" s="6"/>
    </row>
    <row r="157" ht="31.5" customHeight="1">
      <c r="A157" s="17">
        <v>155.0</v>
      </c>
      <c r="B157" s="10" t="s">
        <v>498</v>
      </c>
      <c r="C157" s="11" t="s">
        <v>499</v>
      </c>
      <c r="D157" s="12" t="s">
        <v>500</v>
      </c>
      <c r="E157" s="13" t="s">
        <v>203</v>
      </c>
      <c r="F157" s="12">
        <v>2022.0</v>
      </c>
      <c r="G157" s="14" t="s">
        <v>21</v>
      </c>
      <c r="H157" s="9"/>
      <c r="I157" s="11" t="s">
        <v>22</v>
      </c>
      <c r="J157" s="9">
        <v>122.0</v>
      </c>
      <c r="K157" s="9" t="s">
        <v>23</v>
      </c>
      <c r="L157" s="9" t="s">
        <v>24</v>
      </c>
      <c r="M157" s="11" t="s">
        <v>25</v>
      </c>
      <c r="N157" s="11" t="s">
        <v>26</v>
      </c>
      <c r="O157" s="9" t="s">
        <v>27</v>
      </c>
      <c r="P157" s="15">
        <f t="shared" si="1"/>
        <v>23300</v>
      </c>
      <c r="Q157" s="16">
        <f t="shared" si="2"/>
        <v>46600</v>
      </c>
      <c r="R157" s="6"/>
      <c r="S157" s="6"/>
      <c r="T157" s="6"/>
      <c r="U157" s="6"/>
      <c r="V157" s="6"/>
      <c r="W157" s="6"/>
      <c r="X157" s="6"/>
      <c r="Y157" s="6"/>
    </row>
    <row r="158" ht="31.5" customHeight="1">
      <c r="A158" s="17">
        <v>156.0</v>
      </c>
      <c r="B158" s="10" t="s">
        <v>501</v>
      </c>
      <c r="C158" s="11" t="s">
        <v>502</v>
      </c>
      <c r="D158" s="12" t="s">
        <v>503</v>
      </c>
      <c r="E158" s="12"/>
      <c r="F158" s="12">
        <v>2022.0</v>
      </c>
      <c r="G158" s="14" t="s">
        <v>21</v>
      </c>
      <c r="H158" s="9"/>
      <c r="I158" s="11" t="s">
        <v>22</v>
      </c>
      <c r="J158" s="9">
        <v>59.0</v>
      </c>
      <c r="K158" s="9" t="s">
        <v>23</v>
      </c>
      <c r="L158" s="9" t="s">
        <v>24</v>
      </c>
      <c r="M158" s="11" t="s">
        <v>25</v>
      </c>
      <c r="N158" s="11" t="s">
        <v>26</v>
      </c>
      <c r="O158" s="9" t="s">
        <v>27</v>
      </c>
      <c r="P158" s="15">
        <f t="shared" si="1"/>
        <v>13850</v>
      </c>
      <c r="Q158" s="16">
        <f t="shared" si="2"/>
        <v>27700</v>
      </c>
      <c r="R158" s="6"/>
      <c r="S158" s="6"/>
      <c r="T158" s="6"/>
      <c r="U158" s="6"/>
      <c r="V158" s="6"/>
      <c r="W158" s="6"/>
      <c r="X158" s="6"/>
      <c r="Y158" s="6"/>
    </row>
    <row r="159" ht="31.5" customHeight="1">
      <c r="A159" s="17">
        <v>157.0</v>
      </c>
      <c r="B159" s="10" t="s">
        <v>504</v>
      </c>
      <c r="C159" s="11" t="s">
        <v>505</v>
      </c>
      <c r="D159" s="12" t="s">
        <v>506</v>
      </c>
      <c r="E159" s="12"/>
      <c r="F159" s="12">
        <v>2022.0</v>
      </c>
      <c r="G159" s="14" t="s">
        <v>21</v>
      </c>
      <c r="H159" s="9" t="s">
        <v>382</v>
      </c>
      <c r="I159" s="11" t="s">
        <v>22</v>
      </c>
      <c r="J159" s="9">
        <v>174.0</v>
      </c>
      <c r="K159" s="9" t="s">
        <v>23</v>
      </c>
      <c r="L159" s="9" t="s">
        <v>24</v>
      </c>
      <c r="M159" s="11" t="s">
        <v>25</v>
      </c>
      <c r="N159" s="11" t="s">
        <v>26</v>
      </c>
      <c r="O159" s="9" t="s">
        <v>27</v>
      </c>
      <c r="P159" s="15">
        <f t="shared" si="1"/>
        <v>31100</v>
      </c>
      <c r="Q159" s="16">
        <f t="shared" si="2"/>
        <v>62200</v>
      </c>
      <c r="R159" s="6"/>
      <c r="S159" s="6"/>
      <c r="T159" s="6"/>
      <c r="U159" s="6"/>
      <c r="V159" s="6"/>
      <c r="W159" s="6"/>
      <c r="X159" s="6"/>
      <c r="Y159" s="6"/>
    </row>
    <row r="160" ht="31.5" customHeight="1">
      <c r="A160" s="17">
        <v>158.0</v>
      </c>
      <c r="B160" s="10" t="s">
        <v>507</v>
      </c>
      <c r="C160" s="11" t="s">
        <v>508</v>
      </c>
      <c r="D160" s="12" t="s">
        <v>509</v>
      </c>
      <c r="E160" s="12"/>
      <c r="F160" s="12">
        <v>2022.0</v>
      </c>
      <c r="G160" s="14" t="s">
        <v>21</v>
      </c>
      <c r="H160" s="9"/>
      <c r="I160" s="11" t="s">
        <v>22</v>
      </c>
      <c r="J160" s="9">
        <v>107.0</v>
      </c>
      <c r="K160" s="9" t="s">
        <v>23</v>
      </c>
      <c r="L160" s="9" t="s">
        <v>24</v>
      </c>
      <c r="M160" s="11" t="s">
        <v>25</v>
      </c>
      <c r="N160" s="11" t="s">
        <v>26</v>
      </c>
      <c r="O160" s="9" t="s">
        <v>27</v>
      </c>
      <c r="P160" s="15">
        <f t="shared" si="1"/>
        <v>21050</v>
      </c>
      <c r="Q160" s="16">
        <f t="shared" si="2"/>
        <v>42100</v>
      </c>
      <c r="R160" s="6"/>
      <c r="S160" s="6"/>
      <c r="T160" s="6"/>
      <c r="U160" s="6"/>
      <c r="V160" s="6"/>
      <c r="W160" s="6"/>
      <c r="X160" s="6"/>
      <c r="Y160" s="6"/>
    </row>
    <row r="161" ht="31.5" customHeight="1">
      <c r="A161" s="17">
        <v>159.0</v>
      </c>
      <c r="B161" s="10" t="s">
        <v>510</v>
      </c>
      <c r="C161" s="11" t="s">
        <v>511</v>
      </c>
      <c r="D161" s="12" t="s">
        <v>512</v>
      </c>
      <c r="E161" s="12"/>
      <c r="F161" s="12">
        <v>2022.0</v>
      </c>
      <c r="G161" s="14" t="s">
        <v>21</v>
      </c>
      <c r="H161" s="9"/>
      <c r="I161" s="11" t="s">
        <v>22</v>
      </c>
      <c r="J161" s="9">
        <v>104.0</v>
      </c>
      <c r="K161" s="9" t="s">
        <v>23</v>
      </c>
      <c r="L161" s="9" t="s">
        <v>24</v>
      </c>
      <c r="M161" s="11" t="s">
        <v>25</v>
      </c>
      <c r="N161" s="11" t="s">
        <v>26</v>
      </c>
      <c r="O161" s="9" t="s">
        <v>27</v>
      </c>
      <c r="P161" s="15">
        <f t="shared" si="1"/>
        <v>20600</v>
      </c>
      <c r="Q161" s="16">
        <f t="shared" si="2"/>
        <v>41200</v>
      </c>
      <c r="R161" s="6"/>
      <c r="S161" s="6"/>
      <c r="T161" s="6"/>
      <c r="U161" s="6"/>
      <c r="V161" s="6"/>
      <c r="W161" s="6"/>
      <c r="X161" s="6"/>
      <c r="Y161" s="6"/>
    </row>
    <row r="162" ht="31.5" customHeight="1">
      <c r="A162" s="17">
        <v>160.0</v>
      </c>
      <c r="B162" s="10" t="s">
        <v>513</v>
      </c>
      <c r="C162" s="11" t="s">
        <v>514</v>
      </c>
      <c r="D162" s="12" t="s">
        <v>515</v>
      </c>
      <c r="E162" s="12"/>
      <c r="F162" s="12">
        <v>2022.0</v>
      </c>
      <c r="G162" s="14" t="s">
        <v>21</v>
      </c>
      <c r="H162" s="9"/>
      <c r="I162" s="11" t="s">
        <v>22</v>
      </c>
      <c r="J162" s="9">
        <v>105.0</v>
      </c>
      <c r="K162" s="9" t="s">
        <v>23</v>
      </c>
      <c r="L162" s="9" t="s">
        <v>24</v>
      </c>
      <c r="M162" s="11" t="s">
        <v>25</v>
      </c>
      <c r="N162" s="11" t="s">
        <v>26</v>
      </c>
      <c r="O162" s="9" t="s">
        <v>27</v>
      </c>
      <c r="P162" s="15">
        <f t="shared" si="1"/>
        <v>20750</v>
      </c>
      <c r="Q162" s="16">
        <f t="shared" si="2"/>
        <v>41500</v>
      </c>
      <c r="R162" s="6"/>
      <c r="S162" s="6"/>
      <c r="T162" s="6"/>
      <c r="U162" s="6"/>
      <c r="V162" s="6"/>
      <c r="W162" s="6"/>
      <c r="X162" s="6"/>
      <c r="Y162" s="6"/>
    </row>
    <row r="163" ht="31.5" customHeight="1">
      <c r="A163" s="17">
        <v>161.0</v>
      </c>
      <c r="B163" s="10" t="s">
        <v>516</v>
      </c>
      <c r="C163" s="11" t="s">
        <v>517</v>
      </c>
      <c r="D163" s="12" t="s">
        <v>518</v>
      </c>
      <c r="E163" s="12"/>
      <c r="F163" s="12">
        <v>2022.0</v>
      </c>
      <c r="G163" s="14" t="s">
        <v>21</v>
      </c>
      <c r="H163" s="9"/>
      <c r="I163" s="11" t="s">
        <v>22</v>
      </c>
      <c r="J163" s="9">
        <v>141.0</v>
      </c>
      <c r="K163" s="9" t="s">
        <v>23</v>
      </c>
      <c r="L163" s="9" t="s">
        <v>24</v>
      </c>
      <c r="M163" s="11" t="s">
        <v>25</v>
      </c>
      <c r="N163" s="11" t="s">
        <v>26</v>
      </c>
      <c r="O163" s="9" t="s">
        <v>27</v>
      </c>
      <c r="P163" s="15">
        <f t="shared" si="1"/>
        <v>26150</v>
      </c>
      <c r="Q163" s="16">
        <f t="shared" si="2"/>
        <v>52300</v>
      </c>
      <c r="R163" s="6"/>
      <c r="S163" s="6"/>
      <c r="T163" s="6"/>
      <c r="U163" s="6"/>
      <c r="V163" s="6"/>
      <c r="W163" s="6"/>
      <c r="X163" s="6"/>
      <c r="Y163" s="6"/>
    </row>
    <row r="164" ht="31.5" customHeight="1">
      <c r="A164" s="17">
        <v>162.0</v>
      </c>
      <c r="B164" s="10" t="s">
        <v>519</v>
      </c>
      <c r="C164" s="11" t="s">
        <v>520</v>
      </c>
      <c r="D164" s="12" t="s">
        <v>521</v>
      </c>
      <c r="E164" s="12"/>
      <c r="F164" s="12">
        <v>2022.0</v>
      </c>
      <c r="G164" s="14" t="s">
        <v>21</v>
      </c>
      <c r="H164" s="9" t="s">
        <v>382</v>
      </c>
      <c r="I164" s="11" t="s">
        <v>204</v>
      </c>
      <c r="J164" s="9">
        <v>92.0</v>
      </c>
      <c r="K164" s="9" t="s">
        <v>23</v>
      </c>
      <c r="L164" s="9" t="s">
        <v>24</v>
      </c>
      <c r="M164" s="11" t="s">
        <v>25</v>
      </c>
      <c r="N164" s="11" t="s">
        <v>26</v>
      </c>
      <c r="O164" s="9" t="s">
        <v>27</v>
      </c>
      <c r="P164" s="15">
        <f t="shared" si="1"/>
        <v>0</v>
      </c>
      <c r="Q164" s="16">
        <f t="shared" si="2"/>
        <v>0</v>
      </c>
      <c r="R164" s="6"/>
      <c r="S164" s="6"/>
      <c r="T164" s="6"/>
      <c r="U164" s="6"/>
      <c r="V164" s="6"/>
      <c r="W164" s="6"/>
      <c r="X164" s="6"/>
      <c r="Y164" s="6"/>
    </row>
    <row r="165" ht="31.5" customHeight="1">
      <c r="A165" s="17">
        <v>163.0</v>
      </c>
      <c r="B165" s="10" t="s">
        <v>522</v>
      </c>
      <c r="C165" s="11" t="s">
        <v>523</v>
      </c>
      <c r="D165" s="12" t="s">
        <v>524</v>
      </c>
      <c r="E165" s="12"/>
      <c r="F165" s="12">
        <v>2022.0</v>
      </c>
      <c r="G165" s="14" t="s">
        <v>21</v>
      </c>
      <c r="H165" s="9"/>
      <c r="I165" s="11" t="s">
        <v>22</v>
      </c>
      <c r="J165" s="9">
        <v>197.0</v>
      </c>
      <c r="K165" s="9" t="s">
        <v>23</v>
      </c>
      <c r="L165" s="9" t="s">
        <v>24</v>
      </c>
      <c r="M165" s="11" t="s">
        <v>25</v>
      </c>
      <c r="N165" s="11" t="s">
        <v>26</v>
      </c>
      <c r="O165" s="9" t="s">
        <v>27</v>
      </c>
      <c r="P165" s="15">
        <f t="shared" si="1"/>
        <v>34550</v>
      </c>
      <c r="Q165" s="16">
        <f t="shared" si="2"/>
        <v>69100</v>
      </c>
      <c r="R165" s="6"/>
      <c r="S165" s="6"/>
      <c r="T165" s="6"/>
      <c r="U165" s="6"/>
      <c r="V165" s="6"/>
      <c r="W165" s="6"/>
      <c r="X165" s="6"/>
      <c r="Y165" s="6"/>
    </row>
    <row r="166" ht="31.5" customHeight="1">
      <c r="A166" s="17">
        <v>164.0</v>
      </c>
      <c r="B166" s="10" t="s">
        <v>525</v>
      </c>
      <c r="C166" s="11" t="s">
        <v>526</v>
      </c>
      <c r="D166" s="12" t="s">
        <v>527</v>
      </c>
      <c r="E166" s="12"/>
      <c r="F166" s="12">
        <v>2022.0</v>
      </c>
      <c r="G166" s="14" t="s">
        <v>21</v>
      </c>
      <c r="H166" s="9"/>
      <c r="I166" s="11" t="s">
        <v>528</v>
      </c>
      <c r="J166" s="9">
        <v>252.0</v>
      </c>
      <c r="K166" s="9" t="s">
        <v>23</v>
      </c>
      <c r="L166" s="9" t="s">
        <v>24</v>
      </c>
      <c r="M166" s="11" t="s">
        <v>25</v>
      </c>
      <c r="N166" s="11" t="s">
        <v>26</v>
      </c>
      <c r="O166" s="9" t="s">
        <v>27</v>
      </c>
      <c r="P166" s="15">
        <f>IFS(I166="A5",((J166*150)+5000),I166="A6",((J166*80)+5000),I166="B5",((J166*200)+8000),I166="UNESCO",((J166*180)+8000),TRUE,0)</f>
        <v>25160</v>
      </c>
      <c r="Q166" s="16">
        <f t="shared" si="2"/>
        <v>50320</v>
      </c>
      <c r="R166" s="6"/>
      <c r="S166" s="6"/>
      <c r="T166" s="6"/>
      <c r="U166" s="6"/>
      <c r="V166" s="6"/>
      <c r="W166" s="6"/>
      <c r="X166" s="6"/>
      <c r="Y166" s="6"/>
    </row>
    <row r="167" ht="31.5" customHeight="1">
      <c r="A167" s="17">
        <v>165.0</v>
      </c>
      <c r="B167" s="10" t="s">
        <v>529</v>
      </c>
      <c r="C167" s="11" t="s">
        <v>530</v>
      </c>
      <c r="D167" s="12" t="s">
        <v>531</v>
      </c>
      <c r="E167" s="12"/>
      <c r="F167" s="12">
        <v>2022.0</v>
      </c>
      <c r="G167" s="14" t="s">
        <v>21</v>
      </c>
      <c r="H167" s="9"/>
      <c r="I167" s="11" t="s">
        <v>22</v>
      </c>
      <c r="J167" s="9">
        <v>88.0</v>
      </c>
      <c r="K167" s="9" t="s">
        <v>23</v>
      </c>
      <c r="L167" s="9" t="s">
        <v>24</v>
      </c>
      <c r="M167" s="11" t="s">
        <v>25</v>
      </c>
      <c r="N167" s="11" t="s">
        <v>26</v>
      </c>
      <c r="O167" s="9" t="s">
        <v>27</v>
      </c>
      <c r="P167" s="15">
        <f t="shared" ref="P167:P175" si="3">IFS(I167="A5",((J167*150)+5000),I167="B5",((J167*200)+8000),I167="UNESCO",((J167*180)+8000),TRUE,0)</f>
        <v>18200</v>
      </c>
      <c r="Q167" s="16">
        <f t="shared" si="2"/>
        <v>36400</v>
      </c>
      <c r="R167" s="6"/>
      <c r="S167" s="6"/>
      <c r="T167" s="6"/>
      <c r="U167" s="6"/>
      <c r="V167" s="6"/>
      <c r="W167" s="6"/>
      <c r="X167" s="6"/>
      <c r="Y167" s="6"/>
    </row>
    <row r="168" ht="31.5" customHeight="1">
      <c r="A168" s="17">
        <v>166.0</v>
      </c>
      <c r="B168" s="10" t="s">
        <v>532</v>
      </c>
      <c r="C168" s="11" t="s">
        <v>499</v>
      </c>
      <c r="D168" s="12" t="s">
        <v>533</v>
      </c>
      <c r="E168" s="13" t="s">
        <v>203</v>
      </c>
      <c r="F168" s="12">
        <v>2022.0</v>
      </c>
      <c r="G168" s="14" t="s">
        <v>21</v>
      </c>
      <c r="H168" s="9"/>
      <c r="I168" s="11" t="s">
        <v>22</v>
      </c>
      <c r="J168" s="9">
        <v>126.0</v>
      </c>
      <c r="K168" s="9" t="s">
        <v>23</v>
      </c>
      <c r="L168" s="9" t="s">
        <v>24</v>
      </c>
      <c r="M168" s="11" t="s">
        <v>25</v>
      </c>
      <c r="N168" s="11" t="s">
        <v>26</v>
      </c>
      <c r="O168" s="9" t="s">
        <v>27</v>
      </c>
      <c r="P168" s="15">
        <f t="shared" si="3"/>
        <v>23900</v>
      </c>
      <c r="Q168" s="16">
        <f t="shared" si="2"/>
        <v>47800</v>
      </c>
      <c r="R168" s="6"/>
      <c r="S168" s="6"/>
      <c r="T168" s="6"/>
      <c r="U168" s="6"/>
      <c r="V168" s="6"/>
      <c r="W168" s="6"/>
      <c r="X168" s="6"/>
      <c r="Y168" s="6"/>
    </row>
    <row r="169" ht="31.5" customHeight="1">
      <c r="A169" s="17">
        <v>167.0</v>
      </c>
      <c r="B169" s="10" t="s">
        <v>534</v>
      </c>
      <c r="C169" s="11" t="s">
        <v>535</v>
      </c>
      <c r="D169" s="12" t="s">
        <v>536</v>
      </c>
      <c r="E169" s="12"/>
      <c r="F169" s="12">
        <v>2022.0</v>
      </c>
      <c r="G169" s="14" t="s">
        <v>21</v>
      </c>
      <c r="H169" s="9"/>
      <c r="I169" s="11" t="s">
        <v>22</v>
      </c>
      <c r="J169" s="9">
        <v>61.0</v>
      </c>
      <c r="K169" s="9" t="s">
        <v>23</v>
      </c>
      <c r="L169" s="9" t="s">
        <v>24</v>
      </c>
      <c r="M169" s="11" t="s">
        <v>25</v>
      </c>
      <c r="N169" s="11" t="s">
        <v>26</v>
      </c>
      <c r="O169" s="9" t="s">
        <v>27</v>
      </c>
      <c r="P169" s="15">
        <f t="shared" si="3"/>
        <v>14150</v>
      </c>
      <c r="Q169" s="16">
        <f t="shared" si="2"/>
        <v>28300</v>
      </c>
      <c r="R169" s="6"/>
      <c r="S169" s="6"/>
      <c r="T169" s="6"/>
      <c r="U169" s="6"/>
      <c r="V169" s="6"/>
      <c r="W169" s="6"/>
      <c r="X169" s="6"/>
      <c r="Y169" s="6"/>
    </row>
    <row r="170" ht="31.5" customHeight="1">
      <c r="A170" s="17">
        <v>168.0</v>
      </c>
      <c r="B170" s="10" t="s">
        <v>537</v>
      </c>
      <c r="C170" s="11" t="s">
        <v>538</v>
      </c>
      <c r="D170" s="12" t="s">
        <v>539</v>
      </c>
      <c r="E170" s="12"/>
      <c r="F170" s="12">
        <v>2022.0</v>
      </c>
      <c r="G170" s="14" t="s">
        <v>21</v>
      </c>
      <c r="H170" s="9"/>
      <c r="I170" s="11" t="s">
        <v>74</v>
      </c>
      <c r="J170" s="9">
        <v>169.0</v>
      </c>
      <c r="K170" s="9" t="s">
        <v>23</v>
      </c>
      <c r="L170" s="9" t="s">
        <v>24</v>
      </c>
      <c r="M170" s="11" t="s">
        <v>25</v>
      </c>
      <c r="N170" s="11" t="s">
        <v>26</v>
      </c>
      <c r="O170" s="9" t="s">
        <v>27</v>
      </c>
      <c r="P170" s="15">
        <f t="shared" si="3"/>
        <v>38420</v>
      </c>
      <c r="Q170" s="16">
        <f t="shared" si="2"/>
        <v>76840</v>
      </c>
      <c r="R170" s="6"/>
      <c r="S170" s="6"/>
      <c r="T170" s="6"/>
      <c r="U170" s="6"/>
      <c r="V170" s="6"/>
      <c r="W170" s="6"/>
      <c r="X170" s="6"/>
      <c r="Y170" s="6"/>
    </row>
    <row r="171" ht="31.5" customHeight="1">
      <c r="A171" s="17">
        <v>169.0</v>
      </c>
      <c r="B171" s="10" t="s">
        <v>540</v>
      </c>
      <c r="C171" s="11" t="s">
        <v>541</v>
      </c>
      <c r="D171" s="12" t="s">
        <v>542</v>
      </c>
      <c r="E171" s="12"/>
      <c r="F171" s="12">
        <v>2022.0</v>
      </c>
      <c r="G171" s="14" t="s">
        <v>21</v>
      </c>
      <c r="H171" s="9" t="s">
        <v>382</v>
      </c>
      <c r="I171" s="11" t="s">
        <v>22</v>
      </c>
      <c r="J171" s="9">
        <v>230.0</v>
      </c>
      <c r="K171" s="9" t="s">
        <v>23</v>
      </c>
      <c r="L171" s="9" t="s">
        <v>24</v>
      </c>
      <c r="M171" s="11" t="s">
        <v>25</v>
      </c>
      <c r="N171" s="11" t="s">
        <v>26</v>
      </c>
      <c r="O171" s="9" t="s">
        <v>27</v>
      </c>
      <c r="P171" s="15">
        <f t="shared" si="3"/>
        <v>39500</v>
      </c>
      <c r="Q171" s="16">
        <f t="shared" si="2"/>
        <v>79000</v>
      </c>
      <c r="R171" s="6"/>
      <c r="S171" s="6"/>
      <c r="T171" s="6"/>
      <c r="U171" s="6"/>
      <c r="V171" s="6"/>
      <c r="W171" s="6"/>
      <c r="X171" s="6"/>
      <c r="Y171" s="6"/>
    </row>
    <row r="172" ht="31.5" customHeight="1">
      <c r="A172" s="17">
        <v>170.0</v>
      </c>
      <c r="B172" s="10" t="s">
        <v>543</v>
      </c>
      <c r="C172" s="11" t="s">
        <v>544</v>
      </c>
      <c r="D172" s="12" t="s">
        <v>545</v>
      </c>
      <c r="E172" s="12"/>
      <c r="F172" s="12">
        <v>2022.0</v>
      </c>
      <c r="G172" s="14" t="s">
        <v>21</v>
      </c>
      <c r="H172" s="9" t="s">
        <v>382</v>
      </c>
      <c r="I172" s="11" t="s">
        <v>22</v>
      </c>
      <c r="J172" s="9">
        <v>72.0</v>
      </c>
      <c r="K172" s="9" t="s">
        <v>23</v>
      </c>
      <c r="L172" s="9" t="s">
        <v>24</v>
      </c>
      <c r="M172" s="11" t="s">
        <v>25</v>
      </c>
      <c r="N172" s="11" t="s">
        <v>26</v>
      </c>
      <c r="O172" s="9" t="s">
        <v>27</v>
      </c>
      <c r="P172" s="15">
        <f t="shared" si="3"/>
        <v>15800</v>
      </c>
      <c r="Q172" s="16">
        <f t="shared" si="2"/>
        <v>31600</v>
      </c>
      <c r="R172" s="6"/>
      <c r="S172" s="6"/>
      <c r="T172" s="6"/>
      <c r="U172" s="6"/>
      <c r="V172" s="6"/>
      <c r="W172" s="6"/>
      <c r="X172" s="6"/>
      <c r="Y172" s="6"/>
    </row>
    <row r="173" ht="31.5" customHeight="1">
      <c r="A173" s="17">
        <v>171.0</v>
      </c>
      <c r="B173" s="10" t="s">
        <v>546</v>
      </c>
      <c r="C173" s="11" t="s">
        <v>547</v>
      </c>
      <c r="D173" s="12" t="s">
        <v>548</v>
      </c>
      <c r="E173" s="12"/>
      <c r="F173" s="12">
        <v>2022.0</v>
      </c>
      <c r="G173" s="14" t="s">
        <v>21</v>
      </c>
      <c r="H173" s="9"/>
      <c r="I173" s="11" t="s">
        <v>22</v>
      </c>
      <c r="J173" s="9">
        <v>92.0</v>
      </c>
      <c r="K173" s="9" t="s">
        <v>23</v>
      </c>
      <c r="L173" s="9" t="s">
        <v>24</v>
      </c>
      <c r="M173" s="11" t="s">
        <v>25</v>
      </c>
      <c r="N173" s="11" t="s">
        <v>26</v>
      </c>
      <c r="O173" s="9" t="s">
        <v>27</v>
      </c>
      <c r="P173" s="15">
        <f t="shared" si="3"/>
        <v>18800</v>
      </c>
      <c r="Q173" s="16">
        <f t="shared" si="2"/>
        <v>37600</v>
      </c>
      <c r="R173" s="6"/>
      <c r="S173" s="6"/>
      <c r="T173" s="6"/>
      <c r="U173" s="6"/>
      <c r="V173" s="6"/>
      <c r="W173" s="6"/>
      <c r="X173" s="6"/>
      <c r="Y173" s="6"/>
    </row>
    <row r="174" ht="31.5" customHeight="1">
      <c r="A174" s="17">
        <v>172.0</v>
      </c>
      <c r="B174" s="10" t="s">
        <v>549</v>
      </c>
      <c r="C174" s="11" t="s">
        <v>550</v>
      </c>
      <c r="D174" s="12" t="s">
        <v>551</v>
      </c>
      <c r="E174" s="12"/>
      <c r="F174" s="12">
        <v>2022.0</v>
      </c>
      <c r="G174" s="14" t="s">
        <v>21</v>
      </c>
      <c r="H174" s="9"/>
      <c r="I174" s="11" t="s">
        <v>22</v>
      </c>
      <c r="J174" s="9">
        <v>130.0</v>
      </c>
      <c r="K174" s="9" t="s">
        <v>23</v>
      </c>
      <c r="L174" s="9" t="s">
        <v>24</v>
      </c>
      <c r="M174" s="11" t="s">
        <v>25</v>
      </c>
      <c r="N174" s="11" t="s">
        <v>26</v>
      </c>
      <c r="O174" s="9" t="s">
        <v>27</v>
      </c>
      <c r="P174" s="15">
        <f t="shared" si="3"/>
        <v>24500</v>
      </c>
      <c r="Q174" s="16">
        <f t="shared" si="2"/>
        <v>49000</v>
      </c>
      <c r="R174" s="6"/>
      <c r="S174" s="6"/>
      <c r="T174" s="6"/>
      <c r="U174" s="6"/>
      <c r="V174" s="6"/>
      <c r="W174" s="6"/>
      <c r="X174" s="6"/>
      <c r="Y174" s="6"/>
    </row>
    <row r="175" ht="31.5" customHeight="1">
      <c r="A175" s="17">
        <v>173.0</v>
      </c>
      <c r="B175" s="10" t="s">
        <v>552</v>
      </c>
      <c r="C175" s="11" t="s">
        <v>553</v>
      </c>
      <c r="D175" s="12" t="s">
        <v>554</v>
      </c>
      <c r="E175" s="12"/>
      <c r="F175" s="12">
        <v>2022.0</v>
      </c>
      <c r="G175" s="14" t="s">
        <v>21</v>
      </c>
      <c r="H175" s="9"/>
      <c r="I175" s="11" t="s">
        <v>22</v>
      </c>
      <c r="J175" s="9">
        <v>426.0</v>
      </c>
      <c r="K175" s="9" t="s">
        <v>23</v>
      </c>
      <c r="L175" s="9" t="s">
        <v>24</v>
      </c>
      <c r="M175" s="11" t="s">
        <v>25</v>
      </c>
      <c r="N175" s="11" t="s">
        <v>26</v>
      </c>
      <c r="O175" s="9" t="s">
        <v>27</v>
      </c>
      <c r="P175" s="15">
        <f t="shared" si="3"/>
        <v>68900</v>
      </c>
      <c r="Q175" s="16">
        <f t="shared" si="2"/>
        <v>137800</v>
      </c>
      <c r="R175" s="6"/>
      <c r="S175" s="6"/>
      <c r="T175" s="6"/>
      <c r="U175" s="6"/>
      <c r="V175" s="6"/>
      <c r="W175" s="6"/>
      <c r="X175" s="6"/>
      <c r="Y175" s="6"/>
    </row>
    <row r="176" ht="31.5" customHeight="1">
      <c r="A176" s="17">
        <v>174.0</v>
      </c>
      <c r="B176" s="10" t="s">
        <v>555</v>
      </c>
      <c r="C176" s="11" t="s">
        <v>556</v>
      </c>
      <c r="D176" s="12" t="s">
        <v>557</v>
      </c>
      <c r="E176" s="12"/>
      <c r="F176" s="12">
        <v>2022.0</v>
      </c>
      <c r="G176" s="14" t="s">
        <v>21</v>
      </c>
      <c r="H176" s="9"/>
      <c r="I176" s="11" t="s">
        <v>22</v>
      </c>
      <c r="J176" s="9">
        <v>84.0</v>
      </c>
      <c r="K176" s="9" t="s">
        <v>24</v>
      </c>
      <c r="L176" s="9" t="s">
        <v>24</v>
      </c>
      <c r="M176" s="11" t="s">
        <v>25</v>
      </c>
      <c r="N176" s="11" t="s">
        <v>26</v>
      </c>
      <c r="O176" s="9" t="s">
        <v>27</v>
      </c>
      <c r="P176" s="15">
        <f>IFS(I176="A5",((J176*450)+5000),I176="B5",((J176*200)+8000),I176="UNESCO",((J176*180)+8000),TRUE,0)</f>
        <v>42800</v>
      </c>
      <c r="Q176" s="16">
        <f t="shared" si="2"/>
        <v>85600</v>
      </c>
      <c r="R176" s="6"/>
      <c r="S176" s="6"/>
      <c r="T176" s="6"/>
      <c r="U176" s="6"/>
      <c r="V176" s="6"/>
      <c r="W176" s="6"/>
      <c r="X176" s="6"/>
      <c r="Y176" s="6"/>
    </row>
    <row r="177" ht="31.5" customHeight="1">
      <c r="A177" s="17">
        <v>175.0</v>
      </c>
      <c r="B177" s="10" t="s">
        <v>558</v>
      </c>
      <c r="C177" s="11" t="s">
        <v>559</v>
      </c>
      <c r="D177" s="12" t="s">
        <v>560</v>
      </c>
      <c r="E177" s="12"/>
      <c r="F177" s="12">
        <v>2022.0</v>
      </c>
      <c r="G177" s="14" t="s">
        <v>21</v>
      </c>
      <c r="H177" s="9"/>
      <c r="I177" s="11" t="s">
        <v>204</v>
      </c>
      <c r="J177" s="17"/>
      <c r="K177" s="9" t="s">
        <v>23</v>
      </c>
      <c r="L177" s="9" t="s">
        <v>24</v>
      </c>
      <c r="M177" s="11" t="s">
        <v>25</v>
      </c>
      <c r="N177" s="11" t="s">
        <v>26</v>
      </c>
      <c r="O177" s="9" t="s">
        <v>27</v>
      </c>
      <c r="P177" s="15">
        <f t="shared" ref="P177:P224" si="4">IFS(I177="A5",((J177*150)+5000),I177="B5",((J177*200)+8000),I177="UNESCO",((J177*180)+8000),TRUE,0)</f>
        <v>0</v>
      </c>
      <c r="Q177" s="16">
        <f t="shared" si="2"/>
        <v>0</v>
      </c>
      <c r="R177" s="6"/>
      <c r="S177" s="6"/>
      <c r="T177" s="6"/>
      <c r="U177" s="6"/>
      <c r="V177" s="6"/>
      <c r="W177" s="6"/>
      <c r="X177" s="6"/>
      <c r="Y177" s="6"/>
    </row>
    <row r="178" ht="31.5" customHeight="1">
      <c r="A178" s="17">
        <v>176.0</v>
      </c>
      <c r="B178" s="10" t="s">
        <v>561</v>
      </c>
      <c r="C178" s="11" t="s">
        <v>562</v>
      </c>
      <c r="D178" s="12" t="s">
        <v>563</v>
      </c>
      <c r="E178" s="12"/>
      <c r="F178" s="12">
        <v>2022.0</v>
      </c>
      <c r="G178" s="14" t="s">
        <v>21</v>
      </c>
      <c r="H178" s="9"/>
      <c r="I178" s="11" t="s">
        <v>204</v>
      </c>
      <c r="J178" s="17"/>
      <c r="K178" s="9" t="s">
        <v>23</v>
      </c>
      <c r="L178" s="9" t="s">
        <v>24</v>
      </c>
      <c r="M178" s="11" t="s">
        <v>25</v>
      </c>
      <c r="N178" s="11" t="s">
        <v>26</v>
      </c>
      <c r="O178" s="9" t="s">
        <v>27</v>
      </c>
      <c r="P178" s="15">
        <f t="shared" si="4"/>
        <v>0</v>
      </c>
      <c r="Q178" s="16">
        <f t="shared" si="2"/>
        <v>0</v>
      </c>
      <c r="R178" s="6"/>
      <c r="S178" s="6"/>
      <c r="T178" s="6"/>
      <c r="U178" s="6"/>
      <c r="V178" s="6"/>
      <c r="W178" s="6"/>
      <c r="X178" s="6"/>
      <c r="Y178" s="6"/>
    </row>
    <row r="179" ht="31.5" customHeight="1">
      <c r="A179" s="17">
        <v>177.0</v>
      </c>
      <c r="B179" s="10" t="s">
        <v>564</v>
      </c>
      <c r="C179" s="11" t="s">
        <v>565</v>
      </c>
      <c r="D179" s="12" t="s">
        <v>566</v>
      </c>
      <c r="E179" s="12"/>
      <c r="F179" s="12">
        <v>2022.0</v>
      </c>
      <c r="G179" s="14" t="s">
        <v>21</v>
      </c>
      <c r="H179" s="9"/>
      <c r="I179" s="11" t="s">
        <v>204</v>
      </c>
      <c r="J179" s="17"/>
      <c r="K179" s="9" t="s">
        <v>23</v>
      </c>
      <c r="L179" s="9" t="s">
        <v>24</v>
      </c>
      <c r="M179" s="11" t="s">
        <v>25</v>
      </c>
      <c r="N179" s="11" t="s">
        <v>26</v>
      </c>
      <c r="O179" s="9" t="s">
        <v>27</v>
      </c>
      <c r="P179" s="15">
        <f t="shared" si="4"/>
        <v>0</v>
      </c>
      <c r="Q179" s="16">
        <f t="shared" si="2"/>
        <v>0</v>
      </c>
      <c r="R179" s="6"/>
      <c r="S179" s="6"/>
      <c r="T179" s="6"/>
      <c r="U179" s="6"/>
      <c r="V179" s="6"/>
      <c r="W179" s="6"/>
      <c r="X179" s="6"/>
      <c r="Y179" s="6"/>
    </row>
    <row r="180" ht="31.5" customHeight="1">
      <c r="A180" s="17">
        <v>178.0</v>
      </c>
      <c r="B180" s="10" t="s">
        <v>567</v>
      </c>
      <c r="C180" s="11" t="s">
        <v>568</v>
      </c>
      <c r="D180" s="12" t="s">
        <v>569</v>
      </c>
      <c r="E180" s="12"/>
      <c r="F180" s="12">
        <v>2022.0</v>
      </c>
      <c r="G180" s="14" t="s">
        <v>21</v>
      </c>
      <c r="H180" s="9"/>
      <c r="I180" s="11" t="s">
        <v>22</v>
      </c>
      <c r="J180" s="9">
        <v>111.0</v>
      </c>
      <c r="K180" s="9" t="s">
        <v>23</v>
      </c>
      <c r="L180" s="9" t="s">
        <v>24</v>
      </c>
      <c r="M180" s="11" t="s">
        <v>25</v>
      </c>
      <c r="N180" s="11" t="s">
        <v>26</v>
      </c>
      <c r="O180" s="9" t="s">
        <v>27</v>
      </c>
      <c r="P180" s="15">
        <f t="shared" si="4"/>
        <v>21650</v>
      </c>
      <c r="Q180" s="16">
        <f t="shared" si="2"/>
        <v>43300</v>
      </c>
      <c r="R180" s="6"/>
      <c r="S180" s="6"/>
      <c r="T180" s="6"/>
      <c r="U180" s="6"/>
      <c r="V180" s="6"/>
      <c r="W180" s="6"/>
      <c r="X180" s="6"/>
      <c r="Y180" s="6"/>
    </row>
    <row r="181" ht="31.5" customHeight="1">
      <c r="A181" s="17">
        <v>179.0</v>
      </c>
      <c r="B181" s="10" t="s">
        <v>570</v>
      </c>
      <c r="C181" s="11" t="s">
        <v>571</v>
      </c>
      <c r="D181" s="12" t="s">
        <v>572</v>
      </c>
      <c r="E181" s="12"/>
      <c r="F181" s="12">
        <v>2022.0</v>
      </c>
      <c r="G181" s="14" t="s">
        <v>21</v>
      </c>
      <c r="H181" s="9"/>
      <c r="I181" s="11" t="s">
        <v>22</v>
      </c>
      <c r="J181" s="9">
        <v>138.0</v>
      </c>
      <c r="K181" s="9" t="s">
        <v>23</v>
      </c>
      <c r="L181" s="9" t="s">
        <v>24</v>
      </c>
      <c r="M181" s="11" t="s">
        <v>25</v>
      </c>
      <c r="N181" s="11" t="s">
        <v>26</v>
      </c>
      <c r="O181" s="9" t="s">
        <v>27</v>
      </c>
      <c r="P181" s="15">
        <f t="shared" si="4"/>
        <v>25700</v>
      </c>
      <c r="Q181" s="16">
        <f t="shared" si="2"/>
        <v>51400</v>
      </c>
      <c r="R181" s="6"/>
      <c r="S181" s="6"/>
      <c r="T181" s="6"/>
      <c r="U181" s="6"/>
      <c r="V181" s="6"/>
      <c r="W181" s="6"/>
      <c r="X181" s="6"/>
      <c r="Y181" s="6"/>
    </row>
    <row r="182" ht="31.5" customHeight="1">
      <c r="A182" s="17">
        <v>180.0</v>
      </c>
      <c r="B182" s="10" t="s">
        <v>573</v>
      </c>
      <c r="C182" s="11" t="s">
        <v>574</v>
      </c>
      <c r="D182" s="12" t="s">
        <v>575</v>
      </c>
      <c r="E182" s="12"/>
      <c r="F182" s="12">
        <v>2022.0</v>
      </c>
      <c r="G182" s="14" t="s">
        <v>21</v>
      </c>
      <c r="H182" s="9"/>
      <c r="I182" s="11" t="s">
        <v>22</v>
      </c>
      <c r="J182" s="9">
        <v>108.0</v>
      </c>
      <c r="K182" s="9" t="s">
        <v>23</v>
      </c>
      <c r="L182" s="9" t="s">
        <v>24</v>
      </c>
      <c r="M182" s="11" t="s">
        <v>25</v>
      </c>
      <c r="N182" s="11" t="s">
        <v>26</v>
      </c>
      <c r="O182" s="9" t="s">
        <v>27</v>
      </c>
      <c r="P182" s="15">
        <f t="shared" si="4"/>
        <v>21200</v>
      </c>
      <c r="Q182" s="16">
        <f t="shared" si="2"/>
        <v>42400</v>
      </c>
      <c r="R182" s="6"/>
      <c r="S182" s="6"/>
      <c r="T182" s="6"/>
      <c r="U182" s="6"/>
      <c r="V182" s="6"/>
      <c r="W182" s="6"/>
      <c r="X182" s="6"/>
      <c r="Y182" s="6"/>
    </row>
    <row r="183" ht="31.5" customHeight="1">
      <c r="A183" s="17">
        <v>181.0</v>
      </c>
      <c r="B183" s="10" t="s">
        <v>576</v>
      </c>
      <c r="C183" s="11" t="s">
        <v>577</v>
      </c>
      <c r="D183" s="12" t="s">
        <v>578</v>
      </c>
      <c r="E183" s="12"/>
      <c r="F183" s="12">
        <v>2022.0</v>
      </c>
      <c r="G183" s="14" t="s">
        <v>21</v>
      </c>
      <c r="H183" s="9"/>
      <c r="I183" s="11" t="s">
        <v>74</v>
      </c>
      <c r="J183" s="9">
        <v>62.0</v>
      </c>
      <c r="K183" s="9" t="s">
        <v>23</v>
      </c>
      <c r="L183" s="9" t="s">
        <v>24</v>
      </c>
      <c r="M183" s="11" t="s">
        <v>25</v>
      </c>
      <c r="N183" s="11" t="s">
        <v>26</v>
      </c>
      <c r="O183" s="9" t="s">
        <v>27</v>
      </c>
      <c r="P183" s="15">
        <f t="shared" si="4"/>
        <v>19160</v>
      </c>
      <c r="Q183" s="16">
        <f t="shared" si="2"/>
        <v>38320</v>
      </c>
      <c r="R183" s="6"/>
      <c r="S183" s="6"/>
      <c r="T183" s="6"/>
      <c r="U183" s="6"/>
      <c r="V183" s="6"/>
      <c r="W183" s="6"/>
      <c r="X183" s="6"/>
      <c r="Y183" s="6"/>
    </row>
    <row r="184" ht="31.5" customHeight="1">
      <c r="A184" s="17">
        <v>182.0</v>
      </c>
      <c r="B184" s="10" t="s">
        <v>579</v>
      </c>
      <c r="C184" s="11" t="s">
        <v>580</v>
      </c>
      <c r="D184" s="12" t="s">
        <v>581</v>
      </c>
      <c r="E184" s="13" t="s">
        <v>582</v>
      </c>
      <c r="F184" s="12">
        <v>2022.0</v>
      </c>
      <c r="G184" s="14" t="s">
        <v>21</v>
      </c>
      <c r="H184" s="9"/>
      <c r="I184" s="11" t="s">
        <v>204</v>
      </c>
      <c r="J184" s="17"/>
      <c r="K184" s="9" t="s">
        <v>23</v>
      </c>
      <c r="L184" s="9" t="s">
        <v>24</v>
      </c>
      <c r="M184" s="11" t="s">
        <v>25</v>
      </c>
      <c r="N184" s="11" t="s">
        <v>26</v>
      </c>
      <c r="O184" s="9" t="s">
        <v>27</v>
      </c>
      <c r="P184" s="15">
        <f t="shared" si="4"/>
        <v>0</v>
      </c>
      <c r="Q184" s="16">
        <f t="shared" si="2"/>
        <v>0</v>
      </c>
      <c r="R184" s="6"/>
      <c r="S184" s="6"/>
      <c r="T184" s="6"/>
      <c r="U184" s="6"/>
      <c r="V184" s="6"/>
      <c r="W184" s="6"/>
      <c r="X184" s="6"/>
      <c r="Y184" s="6"/>
    </row>
    <row r="185" ht="31.5" customHeight="1">
      <c r="A185" s="17">
        <v>183.0</v>
      </c>
      <c r="B185" s="10" t="s">
        <v>583</v>
      </c>
      <c r="C185" s="11" t="s">
        <v>584</v>
      </c>
      <c r="D185" s="12" t="s">
        <v>585</v>
      </c>
      <c r="E185" s="13" t="s">
        <v>203</v>
      </c>
      <c r="F185" s="12">
        <v>2022.0</v>
      </c>
      <c r="G185" s="14" t="s">
        <v>21</v>
      </c>
      <c r="H185" s="9"/>
      <c r="I185" s="11" t="s">
        <v>74</v>
      </c>
      <c r="J185" s="9">
        <v>139.0</v>
      </c>
      <c r="K185" s="9" t="s">
        <v>23</v>
      </c>
      <c r="L185" s="9" t="s">
        <v>24</v>
      </c>
      <c r="M185" s="11" t="s">
        <v>25</v>
      </c>
      <c r="N185" s="11" t="s">
        <v>26</v>
      </c>
      <c r="O185" s="9" t="s">
        <v>27</v>
      </c>
      <c r="P185" s="15">
        <f t="shared" si="4"/>
        <v>33020</v>
      </c>
      <c r="Q185" s="16">
        <f t="shared" si="2"/>
        <v>66040</v>
      </c>
      <c r="R185" s="6"/>
      <c r="S185" s="6"/>
      <c r="T185" s="6"/>
      <c r="U185" s="6"/>
      <c r="V185" s="6"/>
      <c r="W185" s="6"/>
      <c r="X185" s="6"/>
      <c r="Y185" s="6"/>
    </row>
    <row r="186" ht="31.5" customHeight="1">
      <c r="A186" s="17">
        <v>184.0</v>
      </c>
      <c r="B186" s="10" t="s">
        <v>586</v>
      </c>
      <c r="C186" s="11" t="s">
        <v>587</v>
      </c>
      <c r="D186" s="12" t="s">
        <v>588</v>
      </c>
      <c r="E186" s="12"/>
      <c r="F186" s="12">
        <v>2022.0</v>
      </c>
      <c r="G186" s="14" t="s">
        <v>21</v>
      </c>
      <c r="H186" s="9"/>
      <c r="I186" s="11" t="s">
        <v>22</v>
      </c>
      <c r="J186" s="9">
        <v>402.0</v>
      </c>
      <c r="K186" s="9" t="s">
        <v>23</v>
      </c>
      <c r="L186" s="9" t="s">
        <v>24</v>
      </c>
      <c r="M186" s="11" t="s">
        <v>25</v>
      </c>
      <c r="N186" s="11" t="s">
        <v>26</v>
      </c>
      <c r="O186" s="9" t="s">
        <v>27</v>
      </c>
      <c r="P186" s="15">
        <f t="shared" si="4"/>
        <v>65300</v>
      </c>
      <c r="Q186" s="16">
        <f t="shared" si="2"/>
        <v>130600</v>
      </c>
      <c r="R186" s="6"/>
      <c r="S186" s="6"/>
      <c r="T186" s="6"/>
      <c r="U186" s="6"/>
      <c r="V186" s="6"/>
      <c r="W186" s="6"/>
      <c r="X186" s="6"/>
      <c r="Y186" s="6"/>
    </row>
    <row r="187" ht="31.5" customHeight="1">
      <c r="A187" s="17">
        <v>185.0</v>
      </c>
      <c r="B187" s="10" t="s">
        <v>589</v>
      </c>
      <c r="C187" s="11" t="s">
        <v>587</v>
      </c>
      <c r="D187" s="12" t="s">
        <v>590</v>
      </c>
      <c r="E187" s="13" t="s">
        <v>591</v>
      </c>
      <c r="F187" s="12">
        <v>2022.0</v>
      </c>
      <c r="G187" s="14" t="s">
        <v>21</v>
      </c>
      <c r="H187" s="9"/>
      <c r="I187" s="11" t="s">
        <v>22</v>
      </c>
      <c r="J187" s="9">
        <v>283.0</v>
      </c>
      <c r="K187" s="9" t="s">
        <v>23</v>
      </c>
      <c r="L187" s="9" t="s">
        <v>24</v>
      </c>
      <c r="M187" s="11" t="s">
        <v>25</v>
      </c>
      <c r="N187" s="11" t="s">
        <v>26</v>
      </c>
      <c r="O187" s="9" t="s">
        <v>27</v>
      </c>
      <c r="P187" s="15">
        <f t="shared" si="4"/>
        <v>47450</v>
      </c>
      <c r="Q187" s="16">
        <f t="shared" si="2"/>
        <v>94900</v>
      </c>
      <c r="R187" s="6"/>
      <c r="S187" s="6"/>
      <c r="T187" s="6"/>
      <c r="U187" s="6"/>
      <c r="V187" s="6"/>
      <c r="W187" s="6"/>
      <c r="X187" s="6"/>
      <c r="Y187" s="6"/>
    </row>
    <row r="188" ht="31.5" customHeight="1">
      <c r="A188" s="17">
        <v>186.0</v>
      </c>
      <c r="B188" s="10" t="s">
        <v>592</v>
      </c>
      <c r="C188" s="11" t="s">
        <v>587</v>
      </c>
      <c r="D188" s="12" t="s">
        <v>593</v>
      </c>
      <c r="E188" s="13" t="s">
        <v>591</v>
      </c>
      <c r="F188" s="12">
        <v>2022.0</v>
      </c>
      <c r="G188" s="14" t="s">
        <v>21</v>
      </c>
      <c r="H188" s="9"/>
      <c r="I188" s="11" t="s">
        <v>22</v>
      </c>
      <c r="J188" s="9">
        <v>379.0</v>
      </c>
      <c r="K188" s="9" t="s">
        <v>23</v>
      </c>
      <c r="L188" s="9" t="s">
        <v>24</v>
      </c>
      <c r="M188" s="11" t="s">
        <v>25</v>
      </c>
      <c r="N188" s="11" t="s">
        <v>26</v>
      </c>
      <c r="O188" s="9" t="s">
        <v>27</v>
      </c>
      <c r="P188" s="15">
        <f t="shared" si="4"/>
        <v>61850</v>
      </c>
      <c r="Q188" s="16">
        <f t="shared" si="2"/>
        <v>123700</v>
      </c>
      <c r="R188" s="6"/>
      <c r="S188" s="6"/>
      <c r="T188" s="6"/>
      <c r="U188" s="6"/>
      <c r="V188" s="6"/>
      <c r="W188" s="6"/>
      <c r="X188" s="6"/>
      <c r="Y188" s="6"/>
    </row>
    <row r="189" ht="31.5" customHeight="1">
      <c r="A189" s="17">
        <v>187.0</v>
      </c>
      <c r="B189" s="10" t="s">
        <v>99</v>
      </c>
      <c r="C189" s="11" t="s">
        <v>594</v>
      </c>
      <c r="D189" s="12" t="s">
        <v>595</v>
      </c>
      <c r="E189" s="13" t="s">
        <v>102</v>
      </c>
      <c r="F189" s="12">
        <v>2022.0</v>
      </c>
      <c r="G189" s="14" t="s">
        <v>21</v>
      </c>
      <c r="H189" s="9"/>
      <c r="I189" s="11" t="s">
        <v>22</v>
      </c>
      <c r="J189" s="9">
        <v>235.0</v>
      </c>
      <c r="K189" s="9" t="s">
        <v>23</v>
      </c>
      <c r="L189" s="9" t="s">
        <v>24</v>
      </c>
      <c r="M189" s="11" t="s">
        <v>25</v>
      </c>
      <c r="N189" s="11" t="s">
        <v>26</v>
      </c>
      <c r="O189" s="9" t="s">
        <v>27</v>
      </c>
      <c r="P189" s="15">
        <f t="shared" si="4"/>
        <v>40250</v>
      </c>
      <c r="Q189" s="16">
        <f t="shared" si="2"/>
        <v>80500</v>
      </c>
      <c r="R189" s="6"/>
      <c r="S189" s="6"/>
      <c r="T189" s="6"/>
      <c r="U189" s="6"/>
      <c r="V189" s="6"/>
      <c r="W189" s="6"/>
      <c r="X189" s="6"/>
      <c r="Y189" s="6"/>
    </row>
    <row r="190" ht="31.5" customHeight="1">
      <c r="A190" s="17">
        <v>188.0</v>
      </c>
      <c r="B190" s="10" t="s">
        <v>596</v>
      </c>
      <c r="C190" s="11" t="s">
        <v>597</v>
      </c>
      <c r="D190" s="12" t="s">
        <v>598</v>
      </c>
      <c r="E190" s="13" t="s">
        <v>599</v>
      </c>
      <c r="F190" s="12">
        <v>2022.0</v>
      </c>
      <c r="G190" s="14" t="s">
        <v>21</v>
      </c>
      <c r="H190" s="9"/>
      <c r="I190" s="11" t="s">
        <v>74</v>
      </c>
      <c r="J190" s="9">
        <v>112.0</v>
      </c>
      <c r="K190" s="9" t="s">
        <v>23</v>
      </c>
      <c r="L190" s="9" t="s">
        <v>24</v>
      </c>
      <c r="M190" s="11" t="s">
        <v>25</v>
      </c>
      <c r="N190" s="11" t="s">
        <v>26</v>
      </c>
      <c r="O190" s="9" t="s">
        <v>27</v>
      </c>
      <c r="P190" s="15">
        <f t="shared" si="4"/>
        <v>28160</v>
      </c>
      <c r="Q190" s="16">
        <f t="shared" si="2"/>
        <v>56320</v>
      </c>
      <c r="R190" s="6"/>
      <c r="S190" s="6"/>
      <c r="T190" s="6"/>
      <c r="U190" s="6"/>
      <c r="V190" s="6"/>
      <c r="W190" s="6"/>
      <c r="X190" s="6"/>
      <c r="Y190" s="6"/>
    </row>
    <row r="191" ht="31.5" customHeight="1">
      <c r="A191" s="17">
        <v>189.0</v>
      </c>
      <c r="B191" s="10" t="s">
        <v>600</v>
      </c>
      <c r="C191" s="11" t="s">
        <v>601</v>
      </c>
      <c r="D191" s="12" t="s">
        <v>602</v>
      </c>
      <c r="E191" s="12"/>
      <c r="F191" s="12">
        <v>2022.0</v>
      </c>
      <c r="G191" s="14" t="s">
        <v>21</v>
      </c>
      <c r="H191" s="9"/>
      <c r="I191" s="11" t="s">
        <v>22</v>
      </c>
      <c r="J191" s="9">
        <v>114.0</v>
      </c>
      <c r="K191" s="9" t="s">
        <v>23</v>
      </c>
      <c r="L191" s="9" t="s">
        <v>24</v>
      </c>
      <c r="M191" s="11" t="s">
        <v>25</v>
      </c>
      <c r="N191" s="11" t="s">
        <v>26</v>
      </c>
      <c r="O191" s="9" t="s">
        <v>27</v>
      </c>
      <c r="P191" s="15">
        <f t="shared" si="4"/>
        <v>22100</v>
      </c>
      <c r="Q191" s="16">
        <f t="shared" si="2"/>
        <v>44200</v>
      </c>
      <c r="R191" s="6"/>
      <c r="S191" s="6"/>
      <c r="T191" s="6"/>
      <c r="U191" s="6"/>
      <c r="V191" s="6"/>
      <c r="W191" s="6"/>
      <c r="X191" s="6"/>
      <c r="Y191" s="6"/>
    </row>
    <row r="192" ht="31.5" customHeight="1">
      <c r="A192" s="17">
        <v>190.0</v>
      </c>
      <c r="B192" s="10" t="s">
        <v>603</v>
      </c>
      <c r="C192" s="11" t="s">
        <v>587</v>
      </c>
      <c r="D192" s="12" t="s">
        <v>604</v>
      </c>
      <c r="E192" s="12"/>
      <c r="F192" s="12">
        <v>2022.0</v>
      </c>
      <c r="G192" s="14" t="s">
        <v>21</v>
      </c>
      <c r="H192" s="9"/>
      <c r="I192" s="11" t="s">
        <v>22</v>
      </c>
      <c r="J192" s="9">
        <v>311.0</v>
      </c>
      <c r="K192" s="9" t="s">
        <v>23</v>
      </c>
      <c r="L192" s="9" t="s">
        <v>24</v>
      </c>
      <c r="M192" s="11" t="s">
        <v>25</v>
      </c>
      <c r="N192" s="11" t="s">
        <v>26</v>
      </c>
      <c r="O192" s="9" t="s">
        <v>27</v>
      </c>
      <c r="P192" s="15">
        <f t="shared" si="4"/>
        <v>51650</v>
      </c>
      <c r="Q192" s="16">
        <f t="shared" si="2"/>
        <v>103300</v>
      </c>
      <c r="R192" s="6"/>
      <c r="S192" s="6"/>
      <c r="T192" s="6"/>
      <c r="U192" s="6"/>
      <c r="V192" s="6"/>
      <c r="W192" s="6"/>
      <c r="X192" s="6"/>
      <c r="Y192" s="6"/>
    </row>
    <row r="193" ht="31.5" customHeight="1">
      <c r="A193" s="17">
        <v>191.0</v>
      </c>
      <c r="B193" s="10" t="s">
        <v>605</v>
      </c>
      <c r="C193" s="11" t="s">
        <v>606</v>
      </c>
      <c r="D193" s="12" t="s">
        <v>607</v>
      </c>
      <c r="E193" s="12"/>
      <c r="F193" s="12">
        <v>2022.0</v>
      </c>
      <c r="G193" s="14" t="s">
        <v>21</v>
      </c>
      <c r="H193" s="9"/>
      <c r="I193" s="11" t="s">
        <v>22</v>
      </c>
      <c r="J193" s="9">
        <v>678.0</v>
      </c>
      <c r="K193" s="9" t="s">
        <v>23</v>
      </c>
      <c r="L193" s="9" t="s">
        <v>24</v>
      </c>
      <c r="M193" s="11" t="s">
        <v>25</v>
      </c>
      <c r="N193" s="11" t="s">
        <v>26</v>
      </c>
      <c r="O193" s="9" t="s">
        <v>27</v>
      </c>
      <c r="P193" s="15">
        <f t="shared" si="4"/>
        <v>106700</v>
      </c>
      <c r="Q193" s="16">
        <f t="shared" si="2"/>
        <v>213400</v>
      </c>
      <c r="R193" s="6"/>
      <c r="S193" s="6"/>
      <c r="T193" s="6"/>
      <c r="U193" s="6"/>
      <c r="V193" s="6"/>
      <c r="W193" s="6"/>
      <c r="X193" s="6"/>
      <c r="Y193" s="6"/>
    </row>
    <row r="194" ht="31.5" customHeight="1">
      <c r="A194" s="17">
        <v>192.0</v>
      </c>
      <c r="B194" s="10" t="s">
        <v>608</v>
      </c>
      <c r="C194" s="11" t="s">
        <v>609</v>
      </c>
      <c r="D194" s="12" t="s">
        <v>610</v>
      </c>
      <c r="E194" s="12"/>
      <c r="F194" s="12">
        <v>2022.0</v>
      </c>
      <c r="G194" s="14" t="s">
        <v>21</v>
      </c>
      <c r="H194" s="9" t="s">
        <v>382</v>
      </c>
      <c r="I194" s="11" t="s">
        <v>22</v>
      </c>
      <c r="J194" s="9">
        <v>153.0</v>
      </c>
      <c r="K194" s="9" t="s">
        <v>23</v>
      </c>
      <c r="L194" s="9" t="s">
        <v>24</v>
      </c>
      <c r="M194" s="11" t="s">
        <v>25</v>
      </c>
      <c r="N194" s="11" t="s">
        <v>26</v>
      </c>
      <c r="O194" s="9" t="s">
        <v>27</v>
      </c>
      <c r="P194" s="15">
        <f t="shared" si="4"/>
        <v>27950</v>
      </c>
      <c r="Q194" s="16">
        <f t="shared" si="2"/>
        <v>55900</v>
      </c>
      <c r="R194" s="6"/>
      <c r="S194" s="6"/>
      <c r="T194" s="6"/>
      <c r="U194" s="6"/>
      <c r="V194" s="6"/>
      <c r="W194" s="6"/>
      <c r="X194" s="6"/>
      <c r="Y194" s="6"/>
    </row>
    <row r="195" ht="31.5" customHeight="1">
      <c r="A195" s="17">
        <v>193.0</v>
      </c>
      <c r="B195" s="10" t="s">
        <v>611</v>
      </c>
      <c r="C195" s="11" t="s">
        <v>612</v>
      </c>
      <c r="D195" s="12" t="s">
        <v>613</v>
      </c>
      <c r="E195" s="12"/>
      <c r="F195" s="12">
        <v>2022.0</v>
      </c>
      <c r="G195" s="14" t="s">
        <v>21</v>
      </c>
      <c r="H195" s="9"/>
      <c r="I195" s="11" t="s">
        <v>22</v>
      </c>
      <c r="J195" s="9">
        <v>416.0</v>
      </c>
      <c r="K195" s="9" t="s">
        <v>23</v>
      </c>
      <c r="L195" s="9" t="s">
        <v>24</v>
      </c>
      <c r="M195" s="11" t="s">
        <v>25</v>
      </c>
      <c r="N195" s="11" t="s">
        <v>26</v>
      </c>
      <c r="O195" s="9" t="s">
        <v>27</v>
      </c>
      <c r="P195" s="15">
        <f t="shared" si="4"/>
        <v>67400</v>
      </c>
      <c r="Q195" s="16">
        <f t="shared" si="2"/>
        <v>134800</v>
      </c>
      <c r="R195" s="6"/>
      <c r="S195" s="6"/>
      <c r="T195" s="6"/>
      <c r="U195" s="6"/>
      <c r="V195" s="6"/>
      <c r="W195" s="6"/>
      <c r="X195" s="6"/>
      <c r="Y195" s="6"/>
    </row>
    <row r="196" ht="31.5" customHeight="1">
      <c r="A196" s="17">
        <v>194.0</v>
      </c>
      <c r="B196" s="10" t="s">
        <v>614</v>
      </c>
      <c r="C196" s="11" t="s">
        <v>615</v>
      </c>
      <c r="D196" s="12" t="s">
        <v>616</v>
      </c>
      <c r="E196" s="12"/>
      <c r="F196" s="12">
        <v>2022.0</v>
      </c>
      <c r="G196" s="14" t="s">
        <v>21</v>
      </c>
      <c r="H196" s="9"/>
      <c r="I196" s="11" t="s">
        <v>74</v>
      </c>
      <c r="J196" s="9">
        <v>112.0</v>
      </c>
      <c r="K196" s="9" t="s">
        <v>23</v>
      </c>
      <c r="L196" s="9" t="s">
        <v>24</v>
      </c>
      <c r="M196" s="11" t="s">
        <v>25</v>
      </c>
      <c r="N196" s="11" t="s">
        <v>26</v>
      </c>
      <c r="O196" s="9" t="s">
        <v>27</v>
      </c>
      <c r="P196" s="15">
        <f t="shared" si="4"/>
        <v>28160</v>
      </c>
      <c r="Q196" s="16">
        <f t="shared" si="2"/>
        <v>56320</v>
      </c>
      <c r="R196" s="6"/>
      <c r="S196" s="6"/>
      <c r="T196" s="6"/>
      <c r="U196" s="6"/>
      <c r="V196" s="6"/>
      <c r="W196" s="6"/>
      <c r="X196" s="6"/>
      <c r="Y196" s="6"/>
    </row>
    <row r="197" ht="31.5" customHeight="1">
      <c r="A197" s="17">
        <v>195.0</v>
      </c>
      <c r="B197" s="10" t="s">
        <v>617</v>
      </c>
      <c r="C197" s="11" t="s">
        <v>618</v>
      </c>
      <c r="D197" s="12" t="s">
        <v>619</v>
      </c>
      <c r="E197" s="12"/>
      <c r="F197" s="12">
        <v>2022.0</v>
      </c>
      <c r="G197" s="14" t="s">
        <v>21</v>
      </c>
      <c r="H197" s="9"/>
      <c r="I197" s="11" t="s">
        <v>74</v>
      </c>
      <c r="J197" s="9">
        <v>158.0</v>
      </c>
      <c r="K197" s="9" t="s">
        <v>23</v>
      </c>
      <c r="L197" s="9" t="s">
        <v>24</v>
      </c>
      <c r="M197" s="11" t="s">
        <v>25</v>
      </c>
      <c r="N197" s="11" t="s">
        <v>26</v>
      </c>
      <c r="O197" s="9" t="s">
        <v>27</v>
      </c>
      <c r="P197" s="15">
        <f t="shared" si="4"/>
        <v>36440</v>
      </c>
      <c r="Q197" s="16">
        <f t="shared" si="2"/>
        <v>72880</v>
      </c>
      <c r="R197" s="6"/>
      <c r="S197" s="6"/>
      <c r="T197" s="6"/>
      <c r="U197" s="6"/>
      <c r="V197" s="6"/>
      <c r="W197" s="6"/>
      <c r="X197" s="6"/>
      <c r="Y197" s="6"/>
    </row>
    <row r="198" ht="31.5" customHeight="1">
      <c r="A198" s="17">
        <v>196.0</v>
      </c>
      <c r="B198" s="10" t="s">
        <v>620</v>
      </c>
      <c r="C198" s="11" t="s">
        <v>621</v>
      </c>
      <c r="D198" s="12" t="s">
        <v>622</v>
      </c>
      <c r="E198" s="12"/>
      <c r="F198" s="12">
        <v>2022.0</v>
      </c>
      <c r="G198" s="14" t="s">
        <v>21</v>
      </c>
      <c r="H198" s="9" t="s">
        <v>382</v>
      </c>
      <c r="I198" s="11" t="s">
        <v>22</v>
      </c>
      <c r="J198" s="9">
        <v>88.0</v>
      </c>
      <c r="K198" s="9" t="s">
        <v>23</v>
      </c>
      <c r="L198" s="9" t="s">
        <v>24</v>
      </c>
      <c r="M198" s="11" t="s">
        <v>25</v>
      </c>
      <c r="N198" s="11" t="s">
        <v>26</v>
      </c>
      <c r="O198" s="9" t="s">
        <v>27</v>
      </c>
      <c r="P198" s="15">
        <f t="shared" si="4"/>
        <v>18200</v>
      </c>
      <c r="Q198" s="16">
        <f t="shared" si="2"/>
        <v>36400</v>
      </c>
      <c r="R198" s="6"/>
      <c r="S198" s="6"/>
      <c r="T198" s="6"/>
      <c r="U198" s="6"/>
      <c r="V198" s="6"/>
      <c r="W198" s="6"/>
      <c r="X198" s="6"/>
      <c r="Y198" s="6"/>
    </row>
    <row r="199" ht="31.5" customHeight="1">
      <c r="A199" s="17">
        <v>197.0</v>
      </c>
      <c r="B199" s="10" t="s">
        <v>623</v>
      </c>
      <c r="C199" s="11" t="s">
        <v>624</v>
      </c>
      <c r="D199" s="12" t="s">
        <v>625</v>
      </c>
      <c r="E199" s="12"/>
      <c r="F199" s="12">
        <v>2021.0</v>
      </c>
      <c r="G199" s="14" t="s">
        <v>21</v>
      </c>
      <c r="H199" s="9"/>
      <c r="I199" s="11" t="s">
        <v>204</v>
      </c>
      <c r="J199" s="9">
        <v>141.0</v>
      </c>
      <c r="K199" s="9" t="s">
        <v>23</v>
      </c>
      <c r="L199" s="9" t="s">
        <v>24</v>
      </c>
      <c r="M199" s="11" t="s">
        <v>25</v>
      </c>
      <c r="N199" s="11" t="s">
        <v>26</v>
      </c>
      <c r="O199" s="9" t="s">
        <v>27</v>
      </c>
      <c r="P199" s="15">
        <f t="shared" si="4"/>
        <v>0</v>
      </c>
      <c r="Q199" s="16">
        <f t="shared" si="2"/>
        <v>0</v>
      </c>
      <c r="R199" s="6"/>
      <c r="S199" s="6"/>
      <c r="T199" s="6"/>
      <c r="U199" s="6"/>
      <c r="V199" s="6"/>
      <c r="W199" s="6"/>
      <c r="X199" s="6"/>
      <c r="Y199" s="6"/>
    </row>
    <row r="200" ht="31.5" customHeight="1">
      <c r="A200" s="17">
        <v>198.0</v>
      </c>
      <c r="B200" s="10" t="s">
        <v>626</v>
      </c>
      <c r="C200" s="11" t="s">
        <v>627</v>
      </c>
      <c r="D200" s="12" t="s">
        <v>628</v>
      </c>
      <c r="E200" s="12"/>
      <c r="F200" s="12">
        <v>2021.0</v>
      </c>
      <c r="G200" s="14" t="s">
        <v>21</v>
      </c>
      <c r="H200" s="9"/>
      <c r="I200" s="11" t="s">
        <v>22</v>
      </c>
      <c r="J200" s="9">
        <v>152.0</v>
      </c>
      <c r="K200" s="9" t="s">
        <v>23</v>
      </c>
      <c r="L200" s="9" t="s">
        <v>24</v>
      </c>
      <c r="M200" s="11" t="s">
        <v>25</v>
      </c>
      <c r="N200" s="11" t="s">
        <v>26</v>
      </c>
      <c r="O200" s="9" t="s">
        <v>27</v>
      </c>
      <c r="P200" s="15">
        <f t="shared" si="4"/>
        <v>27800</v>
      </c>
      <c r="Q200" s="16">
        <f t="shared" si="2"/>
        <v>55600</v>
      </c>
      <c r="R200" s="6"/>
      <c r="S200" s="6"/>
      <c r="T200" s="6"/>
      <c r="U200" s="6"/>
      <c r="V200" s="6"/>
      <c r="W200" s="6"/>
      <c r="X200" s="6"/>
      <c r="Y200" s="6"/>
    </row>
    <row r="201" ht="31.5" customHeight="1">
      <c r="A201" s="17">
        <v>199.0</v>
      </c>
      <c r="B201" s="10" t="s">
        <v>629</v>
      </c>
      <c r="C201" s="11" t="s">
        <v>630</v>
      </c>
      <c r="D201" s="12" t="s">
        <v>631</v>
      </c>
      <c r="E201" s="12"/>
      <c r="F201" s="12">
        <v>2021.0</v>
      </c>
      <c r="G201" s="14" t="s">
        <v>21</v>
      </c>
      <c r="H201" s="9"/>
      <c r="I201" s="11" t="s">
        <v>22</v>
      </c>
      <c r="J201" s="9">
        <v>281.0</v>
      </c>
      <c r="K201" s="9" t="s">
        <v>23</v>
      </c>
      <c r="L201" s="9" t="s">
        <v>24</v>
      </c>
      <c r="M201" s="11" t="s">
        <v>25</v>
      </c>
      <c r="N201" s="11" t="s">
        <v>26</v>
      </c>
      <c r="O201" s="9" t="s">
        <v>27</v>
      </c>
      <c r="P201" s="15">
        <f t="shared" si="4"/>
        <v>47150</v>
      </c>
      <c r="Q201" s="16">
        <f t="shared" si="2"/>
        <v>94300</v>
      </c>
      <c r="R201" s="6"/>
      <c r="S201" s="6"/>
      <c r="T201" s="6"/>
      <c r="U201" s="6"/>
      <c r="V201" s="6"/>
      <c r="W201" s="6"/>
      <c r="X201" s="6"/>
      <c r="Y201" s="6"/>
    </row>
    <row r="202" ht="31.5" customHeight="1">
      <c r="A202" s="17">
        <v>200.0</v>
      </c>
      <c r="B202" s="10" t="s">
        <v>632</v>
      </c>
      <c r="C202" s="11" t="s">
        <v>393</v>
      </c>
      <c r="D202" s="12" t="s">
        <v>633</v>
      </c>
      <c r="E202" s="12"/>
      <c r="F202" s="12">
        <v>2021.0</v>
      </c>
      <c r="G202" s="14" t="s">
        <v>21</v>
      </c>
      <c r="H202" s="9"/>
      <c r="I202" s="11" t="s">
        <v>22</v>
      </c>
      <c r="J202" s="9">
        <v>133.0</v>
      </c>
      <c r="K202" s="9" t="s">
        <v>23</v>
      </c>
      <c r="L202" s="9" t="s">
        <v>24</v>
      </c>
      <c r="M202" s="11" t="s">
        <v>25</v>
      </c>
      <c r="N202" s="11" t="s">
        <v>26</v>
      </c>
      <c r="O202" s="9" t="s">
        <v>27</v>
      </c>
      <c r="P202" s="15">
        <f t="shared" si="4"/>
        <v>24950</v>
      </c>
      <c r="Q202" s="16">
        <f t="shared" si="2"/>
        <v>49900</v>
      </c>
      <c r="R202" s="6"/>
      <c r="S202" s="6"/>
      <c r="T202" s="6"/>
      <c r="U202" s="6"/>
      <c r="V202" s="6"/>
      <c r="W202" s="6"/>
      <c r="X202" s="6"/>
      <c r="Y202" s="6"/>
    </row>
    <row r="203" ht="31.5" customHeight="1">
      <c r="A203" s="17">
        <v>201.0</v>
      </c>
      <c r="B203" s="10" t="s">
        <v>634</v>
      </c>
      <c r="C203" s="11" t="s">
        <v>635</v>
      </c>
      <c r="D203" s="12" t="s">
        <v>636</v>
      </c>
      <c r="E203" s="12"/>
      <c r="F203" s="12">
        <v>2021.0</v>
      </c>
      <c r="G203" s="14" t="s">
        <v>21</v>
      </c>
      <c r="H203" s="9"/>
      <c r="I203" s="11" t="s">
        <v>22</v>
      </c>
      <c r="J203" s="9">
        <v>254.0</v>
      </c>
      <c r="K203" s="9" t="s">
        <v>23</v>
      </c>
      <c r="L203" s="9" t="s">
        <v>24</v>
      </c>
      <c r="M203" s="11" t="s">
        <v>25</v>
      </c>
      <c r="N203" s="11" t="s">
        <v>26</v>
      </c>
      <c r="O203" s="9" t="s">
        <v>27</v>
      </c>
      <c r="P203" s="15">
        <f t="shared" si="4"/>
        <v>43100</v>
      </c>
      <c r="Q203" s="16">
        <f t="shared" si="2"/>
        <v>86200</v>
      </c>
      <c r="R203" s="6"/>
      <c r="S203" s="6"/>
      <c r="T203" s="6"/>
      <c r="U203" s="6"/>
      <c r="V203" s="6"/>
      <c r="W203" s="6"/>
      <c r="X203" s="6"/>
      <c r="Y203" s="6"/>
    </row>
    <row r="204" ht="31.5" customHeight="1">
      <c r="A204" s="17">
        <v>202.0</v>
      </c>
      <c r="B204" s="10" t="s">
        <v>637</v>
      </c>
      <c r="C204" s="11" t="s">
        <v>638</v>
      </c>
      <c r="D204" s="12" t="s">
        <v>639</v>
      </c>
      <c r="E204" s="12"/>
      <c r="F204" s="12">
        <v>2021.0</v>
      </c>
      <c r="G204" s="14" t="s">
        <v>21</v>
      </c>
      <c r="H204" s="9" t="s">
        <v>382</v>
      </c>
      <c r="I204" s="11" t="s">
        <v>22</v>
      </c>
      <c r="J204" s="9">
        <v>375.0</v>
      </c>
      <c r="K204" s="9" t="s">
        <v>23</v>
      </c>
      <c r="L204" s="9" t="s">
        <v>24</v>
      </c>
      <c r="M204" s="11" t="s">
        <v>25</v>
      </c>
      <c r="N204" s="11" t="s">
        <v>26</v>
      </c>
      <c r="O204" s="9" t="s">
        <v>27</v>
      </c>
      <c r="P204" s="15">
        <f t="shared" si="4"/>
        <v>61250</v>
      </c>
      <c r="Q204" s="16">
        <f t="shared" si="2"/>
        <v>122500</v>
      </c>
      <c r="R204" s="6"/>
      <c r="S204" s="6"/>
      <c r="T204" s="6"/>
      <c r="U204" s="6"/>
      <c r="V204" s="6"/>
      <c r="W204" s="6"/>
      <c r="X204" s="6"/>
      <c r="Y204" s="6"/>
    </row>
    <row r="205" ht="31.5" customHeight="1">
      <c r="A205" s="17">
        <v>203.0</v>
      </c>
      <c r="B205" s="10" t="s">
        <v>640</v>
      </c>
      <c r="C205" s="11" t="s">
        <v>641</v>
      </c>
      <c r="D205" s="12" t="s">
        <v>642</v>
      </c>
      <c r="E205" s="13" t="s">
        <v>102</v>
      </c>
      <c r="F205" s="12">
        <v>2021.0</v>
      </c>
      <c r="G205" s="14" t="s">
        <v>21</v>
      </c>
      <c r="H205" s="9"/>
      <c r="I205" s="11" t="s">
        <v>22</v>
      </c>
      <c r="J205" s="9">
        <v>100.0</v>
      </c>
      <c r="K205" s="9" t="s">
        <v>23</v>
      </c>
      <c r="L205" s="9" t="s">
        <v>24</v>
      </c>
      <c r="M205" s="11" t="s">
        <v>25</v>
      </c>
      <c r="N205" s="11" t="s">
        <v>26</v>
      </c>
      <c r="O205" s="9" t="s">
        <v>27</v>
      </c>
      <c r="P205" s="15">
        <f t="shared" si="4"/>
        <v>20000</v>
      </c>
      <c r="Q205" s="16">
        <f t="shared" si="2"/>
        <v>40000</v>
      </c>
      <c r="R205" s="6"/>
      <c r="S205" s="6"/>
      <c r="T205" s="6"/>
      <c r="U205" s="6"/>
      <c r="V205" s="6"/>
      <c r="W205" s="6"/>
      <c r="X205" s="6"/>
      <c r="Y205" s="6"/>
    </row>
    <row r="206" ht="31.5" customHeight="1">
      <c r="A206" s="17">
        <v>204.0</v>
      </c>
      <c r="B206" s="10" t="s">
        <v>643</v>
      </c>
      <c r="C206" s="11" t="s">
        <v>644</v>
      </c>
      <c r="D206" s="12" t="s">
        <v>645</v>
      </c>
      <c r="E206" s="12"/>
      <c r="F206" s="12">
        <v>2021.0</v>
      </c>
      <c r="G206" s="14" t="s">
        <v>21</v>
      </c>
      <c r="H206" s="9"/>
      <c r="I206" s="11" t="s">
        <v>22</v>
      </c>
      <c r="J206" s="9">
        <v>365.0</v>
      </c>
      <c r="K206" s="9" t="s">
        <v>23</v>
      </c>
      <c r="L206" s="9" t="s">
        <v>24</v>
      </c>
      <c r="M206" s="11" t="s">
        <v>25</v>
      </c>
      <c r="N206" s="11" t="s">
        <v>26</v>
      </c>
      <c r="O206" s="9" t="s">
        <v>27</v>
      </c>
      <c r="P206" s="15">
        <f t="shared" si="4"/>
        <v>59750</v>
      </c>
      <c r="Q206" s="16">
        <f t="shared" si="2"/>
        <v>119500</v>
      </c>
      <c r="R206" s="6"/>
      <c r="S206" s="6"/>
      <c r="T206" s="6"/>
      <c r="U206" s="6"/>
      <c r="V206" s="6"/>
      <c r="W206" s="6"/>
      <c r="X206" s="6"/>
      <c r="Y206" s="6"/>
    </row>
    <row r="207" ht="31.5" customHeight="1">
      <c r="A207" s="17">
        <v>205.0</v>
      </c>
      <c r="B207" s="10" t="s">
        <v>646</v>
      </c>
      <c r="C207" s="11" t="s">
        <v>647</v>
      </c>
      <c r="D207" s="12" t="s">
        <v>648</v>
      </c>
      <c r="E207" s="12"/>
      <c r="F207" s="12">
        <v>2021.0</v>
      </c>
      <c r="G207" s="14" t="s">
        <v>21</v>
      </c>
      <c r="H207" s="9" t="s">
        <v>382</v>
      </c>
      <c r="I207" s="11" t="s">
        <v>22</v>
      </c>
      <c r="J207" s="9">
        <v>161.0</v>
      </c>
      <c r="K207" s="9" t="s">
        <v>23</v>
      </c>
      <c r="L207" s="9" t="s">
        <v>24</v>
      </c>
      <c r="M207" s="11" t="s">
        <v>25</v>
      </c>
      <c r="N207" s="11" t="s">
        <v>26</v>
      </c>
      <c r="O207" s="9" t="s">
        <v>27</v>
      </c>
      <c r="P207" s="15">
        <f t="shared" si="4"/>
        <v>29150</v>
      </c>
      <c r="Q207" s="16">
        <f t="shared" si="2"/>
        <v>58300</v>
      </c>
      <c r="R207" s="6"/>
      <c r="S207" s="6"/>
      <c r="T207" s="6"/>
      <c r="U207" s="6"/>
      <c r="V207" s="6"/>
      <c r="W207" s="6"/>
      <c r="X207" s="6"/>
      <c r="Y207" s="6"/>
    </row>
    <row r="208" ht="31.5" customHeight="1">
      <c r="A208" s="17">
        <v>206.0</v>
      </c>
      <c r="B208" s="10" t="s">
        <v>649</v>
      </c>
      <c r="C208" s="11" t="s">
        <v>650</v>
      </c>
      <c r="D208" s="12" t="s">
        <v>651</v>
      </c>
      <c r="E208" s="12"/>
      <c r="F208" s="12">
        <v>2021.0</v>
      </c>
      <c r="G208" s="14" t="s">
        <v>21</v>
      </c>
      <c r="H208" s="9"/>
      <c r="I208" s="11" t="s">
        <v>22</v>
      </c>
      <c r="J208" s="9">
        <v>107.0</v>
      </c>
      <c r="K208" s="9" t="s">
        <v>23</v>
      </c>
      <c r="L208" s="9" t="s">
        <v>24</v>
      </c>
      <c r="M208" s="11" t="s">
        <v>25</v>
      </c>
      <c r="N208" s="11" t="s">
        <v>26</v>
      </c>
      <c r="O208" s="9" t="s">
        <v>27</v>
      </c>
      <c r="P208" s="15">
        <f t="shared" si="4"/>
        <v>21050</v>
      </c>
      <c r="Q208" s="16">
        <f t="shared" si="2"/>
        <v>42100</v>
      </c>
      <c r="R208" s="6"/>
      <c r="S208" s="6"/>
      <c r="T208" s="6"/>
      <c r="U208" s="6"/>
      <c r="V208" s="6"/>
      <c r="W208" s="6"/>
      <c r="X208" s="6"/>
      <c r="Y208" s="6"/>
    </row>
    <row r="209" ht="31.5" customHeight="1">
      <c r="A209" s="17">
        <v>207.0</v>
      </c>
      <c r="B209" s="10" t="s">
        <v>652</v>
      </c>
      <c r="C209" s="11" t="s">
        <v>653</v>
      </c>
      <c r="D209" s="12" t="s">
        <v>654</v>
      </c>
      <c r="E209" s="12"/>
      <c r="F209" s="12">
        <v>2021.0</v>
      </c>
      <c r="G209" s="14" t="s">
        <v>21</v>
      </c>
      <c r="H209" s="9"/>
      <c r="I209" s="11" t="s">
        <v>204</v>
      </c>
      <c r="J209" s="17"/>
      <c r="K209" s="9" t="s">
        <v>23</v>
      </c>
      <c r="L209" s="9" t="s">
        <v>24</v>
      </c>
      <c r="M209" s="11" t="s">
        <v>25</v>
      </c>
      <c r="N209" s="11" t="s">
        <v>26</v>
      </c>
      <c r="O209" s="9" t="s">
        <v>27</v>
      </c>
      <c r="P209" s="15">
        <f t="shared" si="4"/>
        <v>0</v>
      </c>
      <c r="Q209" s="16">
        <f t="shared" si="2"/>
        <v>0</v>
      </c>
      <c r="R209" s="6"/>
      <c r="S209" s="6"/>
      <c r="T209" s="6"/>
      <c r="U209" s="6"/>
      <c r="V209" s="6"/>
      <c r="W209" s="6"/>
      <c r="X209" s="6"/>
      <c r="Y209" s="6"/>
    </row>
    <row r="210" ht="46.5" customHeight="1">
      <c r="A210" s="17">
        <v>208.0</v>
      </c>
      <c r="B210" s="10" t="s">
        <v>655</v>
      </c>
      <c r="C210" s="11" t="s">
        <v>656</v>
      </c>
      <c r="D210" s="12" t="s">
        <v>657</v>
      </c>
      <c r="E210" s="12"/>
      <c r="F210" s="12">
        <v>2021.0</v>
      </c>
      <c r="G210" s="14" t="s">
        <v>21</v>
      </c>
      <c r="H210" s="9"/>
      <c r="I210" s="11" t="s">
        <v>22</v>
      </c>
      <c r="J210" s="9">
        <v>100.0</v>
      </c>
      <c r="K210" s="9" t="s">
        <v>23</v>
      </c>
      <c r="L210" s="9" t="s">
        <v>24</v>
      </c>
      <c r="M210" s="11" t="s">
        <v>25</v>
      </c>
      <c r="N210" s="11" t="s">
        <v>26</v>
      </c>
      <c r="O210" s="9" t="s">
        <v>27</v>
      </c>
      <c r="P210" s="15">
        <f t="shared" si="4"/>
        <v>20000</v>
      </c>
      <c r="Q210" s="16">
        <f t="shared" si="2"/>
        <v>40000</v>
      </c>
      <c r="R210" s="6"/>
      <c r="S210" s="6"/>
      <c r="T210" s="6"/>
      <c r="U210" s="6"/>
      <c r="V210" s="6"/>
      <c r="W210" s="6"/>
      <c r="X210" s="6"/>
      <c r="Y210" s="6"/>
    </row>
    <row r="211" ht="31.5" customHeight="1">
      <c r="A211" s="17">
        <v>209.0</v>
      </c>
      <c r="B211" s="10" t="s">
        <v>658</v>
      </c>
      <c r="C211" s="11" t="s">
        <v>638</v>
      </c>
      <c r="D211" s="12" t="s">
        <v>659</v>
      </c>
      <c r="E211" s="12"/>
      <c r="F211" s="12">
        <v>2021.0</v>
      </c>
      <c r="G211" s="14" t="s">
        <v>21</v>
      </c>
      <c r="H211" s="9"/>
      <c r="I211" s="11" t="s">
        <v>204</v>
      </c>
      <c r="J211" s="9">
        <v>346.0</v>
      </c>
      <c r="K211" s="9" t="s">
        <v>23</v>
      </c>
      <c r="L211" s="9" t="s">
        <v>24</v>
      </c>
      <c r="M211" s="11" t="s">
        <v>25</v>
      </c>
      <c r="N211" s="11" t="s">
        <v>26</v>
      </c>
      <c r="O211" s="9" t="s">
        <v>27</v>
      </c>
      <c r="P211" s="15">
        <f t="shared" si="4"/>
        <v>0</v>
      </c>
      <c r="Q211" s="16">
        <f t="shared" si="2"/>
        <v>0</v>
      </c>
      <c r="R211" s="6"/>
      <c r="S211" s="6"/>
      <c r="T211" s="6"/>
      <c r="U211" s="6"/>
      <c r="V211" s="6"/>
      <c r="W211" s="6"/>
      <c r="X211" s="6"/>
      <c r="Y211" s="6"/>
    </row>
    <row r="212" ht="31.5" customHeight="1">
      <c r="A212" s="17">
        <v>210.0</v>
      </c>
      <c r="B212" s="10" t="s">
        <v>660</v>
      </c>
      <c r="C212" s="11" t="s">
        <v>661</v>
      </c>
      <c r="D212" s="12" t="s">
        <v>662</v>
      </c>
      <c r="E212" s="12"/>
      <c r="F212" s="12">
        <v>2021.0</v>
      </c>
      <c r="G212" s="14" t="s">
        <v>21</v>
      </c>
      <c r="H212" s="9" t="s">
        <v>382</v>
      </c>
      <c r="I212" s="11" t="s">
        <v>663</v>
      </c>
      <c r="J212" s="9">
        <v>230.0</v>
      </c>
      <c r="K212" s="9" t="s">
        <v>23</v>
      </c>
      <c r="L212" s="9" t="s">
        <v>24</v>
      </c>
      <c r="M212" s="11" t="s">
        <v>25</v>
      </c>
      <c r="N212" s="11" t="s">
        <v>26</v>
      </c>
      <c r="O212" s="9" t="s">
        <v>27</v>
      </c>
      <c r="P212" s="15">
        <f t="shared" si="4"/>
        <v>54000</v>
      </c>
      <c r="Q212" s="16">
        <f t="shared" si="2"/>
        <v>108000</v>
      </c>
      <c r="R212" s="6"/>
      <c r="S212" s="6"/>
      <c r="T212" s="6"/>
      <c r="U212" s="6"/>
      <c r="V212" s="6"/>
      <c r="W212" s="6"/>
      <c r="X212" s="6"/>
      <c r="Y212" s="6"/>
    </row>
    <row r="213" ht="31.5" customHeight="1">
      <c r="A213" s="17">
        <v>211.0</v>
      </c>
      <c r="B213" s="10" t="s">
        <v>664</v>
      </c>
      <c r="C213" s="11" t="s">
        <v>665</v>
      </c>
      <c r="D213" s="12" t="s">
        <v>666</v>
      </c>
      <c r="E213" s="12"/>
      <c r="F213" s="12">
        <v>2021.0</v>
      </c>
      <c r="G213" s="14" t="s">
        <v>21</v>
      </c>
      <c r="H213" s="9" t="s">
        <v>382</v>
      </c>
      <c r="I213" s="11" t="s">
        <v>22</v>
      </c>
      <c r="J213" s="9">
        <v>342.0</v>
      </c>
      <c r="K213" s="9" t="s">
        <v>23</v>
      </c>
      <c r="L213" s="9" t="s">
        <v>24</v>
      </c>
      <c r="M213" s="11" t="s">
        <v>25</v>
      </c>
      <c r="N213" s="11" t="s">
        <v>26</v>
      </c>
      <c r="O213" s="9" t="s">
        <v>27</v>
      </c>
      <c r="P213" s="15">
        <f t="shared" si="4"/>
        <v>56300</v>
      </c>
      <c r="Q213" s="16">
        <f t="shared" si="2"/>
        <v>112600</v>
      </c>
      <c r="R213" s="6"/>
      <c r="S213" s="6"/>
      <c r="T213" s="6"/>
      <c r="U213" s="6"/>
      <c r="V213" s="6"/>
      <c r="W213" s="6"/>
      <c r="X213" s="6"/>
      <c r="Y213" s="6"/>
    </row>
    <row r="214" ht="31.5" customHeight="1">
      <c r="A214" s="17">
        <v>212.0</v>
      </c>
      <c r="B214" s="10" t="s">
        <v>667</v>
      </c>
      <c r="C214" s="11" t="s">
        <v>668</v>
      </c>
      <c r="D214" s="12" t="s">
        <v>669</v>
      </c>
      <c r="E214" s="12"/>
      <c r="F214" s="12">
        <v>2021.0</v>
      </c>
      <c r="G214" s="14" t="s">
        <v>21</v>
      </c>
      <c r="H214" s="9"/>
      <c r="I214" s="11" t="s">
        <v>74</v>
      </c>
      <c r="J214" s="9">
        <v>306.0</v>
      </c>
      <c r="K214" s="9" t="s">
        <v>23</v>
      </c>
      <c r="L214" s="9" t="s">
        <v>24</v>
      </c>
      <c r="M214" s="11" t="s">
        <v>25</v>
      </c>
      <c r="N214" s="11" t="s">
        <v>26</v>
      </c>
      <c r="O214" s="9" t="s">
        <v>27</v>
      </c>
      <c r="P214" s="15">
        <f t="shared" si="4"/>
        <v>63080</v>
      </c>
      <c r="Q214" s="16">
        <f t="shared" si="2"/>
        <v>126160</v>
      </c>
      <c r="R214" s="6"/>
      <c r="S214" s="6"/>
      <c r="T214" s="6"/>
      <c r="U214" s="6"/>
      <c r="V214" s="6"/>
      <c r="W214" s="6"/>
      <c r="X214" s="6"/>
      <c r="Y214" s="6"/>
    </row>
    <row r="215" ht="31.5" customHeight="1">
      <c r="A215" s="17">
        <v>213.0</v>
      </c>
      <c r="B215" s="10" t="s">
        <v>670</v>
      </c>
      <c r="C215" s="11" t="s">
        <v>671</v>
      </c>
      <c r="D215" s="12" t="s">
        <v>672</v>
      </c>
      <c r="E215" s="12"/>
      <c r="F215" s="12">
        <v>2021.0</v>
      </c>
      <c r="G215" s="14" t="s">
        <v>21</v>
      </c>
      <c r="H215" s="9"/>
      <c r="I215" s="11" t="s">
        <v>74</v>
      </c>
      <c r="J215" s="9">
        <v>140.0</v>
      </c>
      <c r="K215" s="9" t="s">
        <v>23</v>
      </c>
      <c r="L215" s="9" t="s">
        <v>24</v>
      </c>
      <c r="M215" s="11" t="s">
        <v>25</v>
      </c>
      <c r="N215" s="11" t="s">
        <v>26</v>
      </c>
      <c r="O215" s="9" t="s">
        <v>27</v>
      </c>
      <c r="P215" s="15">
        <f t="shared" si="4"/>
        <v>33200</v>
      </c>
      <c r="Q215" s="16">
        <f t="shared" si="2"/>
        <v>66400</v>
      </c>
      <c r="R215" s="6"/>
      <c r="S215" s="6"/>
      <c r="T215" s="6"/>
      <c r="U215" s="6"/>
      <c r="V215" s="6"/>
      <c r="W215" s="6"/>
      <c r="X215" s="6"/>
      <c r="Y215" s="6"/>
    </row>
    <row r="216" ht="31.5" customHeight="1">
      <c r="A216" s="17">
        <v>214.0</v>
      </c>
      <c r="B216" s="10" t="s">
        <v>673</v>
      </c>
      <c r="C216" s="11" t="s">
        <v>674</v>
      </c>
      <c r="D216" s="12" t="s">
        <v>675</v>
      </c>
      <c r="E216" s="12"/>
      <c r="F216" s="12">
        <v>2021.0</v>
      </c>
      <c r="G216" s="14" t="s">
        <v>21</v>
      </c>
      <c r="H216" s="9"/>
      <c r="I216" s="11" t="s">
        <v>22</v>
      </c>
      <c r="J216" s="9">
        <v>54.0</v>
      </c>
      <c r="K216" s="9" t="s">
        <v>23</v>
      </c>
      <c r="L216" s="9" t="s">
        <v>24</v>
      </c>
      <c r="M216" s="11" t="s">
        <v>25</v>
      </c>
      <c r="N216" s="11" t="s">
        <v>26</v>
      </c>
      <c r="O216" s="9" t="s">
        <v>27</v>
      </c>
      <c r="P216" s="15">
        <f t="shared" si="4"/>
        <v>13100</v>
      </c>
      <c r="Q216" s="16">
        <f t="shared" si="2"/>
        <v>26200</v>
      </c>
      <c r="R216" s="6"/>
      <c r="S216" s="6"/>
      <c r="T216" s="6"/>
      <c r="U216" s="6"/>
      <c r="V216" s="6"/>
      <c r="W216" s="6"/>
      <c r="X216" s="6"/>
      <c r="Y216" s="6"/>
    </row>
    <row r="217" ht="31.5" customHeight="1">
      <c r="A217" s="17">
        <v>215.0</v>
      </c>
      <c r="B217" s="10" t="s">
        <v>676</v>
      </c>
      <c r="C217" s="11" t="s">
        <v>677</v>
      </c>
      <c r="D217" s="12" t="s">
        <v>678</v>
      </c>
      <c r="E217" s="13" t="s">
        <v>679</v>
      </c>
      <c r="F217" s="12">
        <v>2021.0</v>
      </c>
      <c r="G217" s="14" t="s">
        <v>21</v>
      </c>
      <c r="H217" s="9"/>
      <c r="I217" s="11" t="s">
        <v>74</v>
      </c>
      <c r="J217" s="9">
        <v>258.0</v>
      </c>
      <c r="K217" s="9" t="s">
        <v>23</v>
      </c>
      <c r="L217" s="9" t="s">
        <v>24</v>
      </c>
      <c r="M217" s="11" t="s">
        <v>25</v>
      </c>
      <c r="N217" s="11" t="s">
        <v>26</v>
      </c>
      <c r="O217" s="9" t="s">
        <v>27</v>
      </c>
      <c r="P217" s="15">
        <f t="shared" si="4"/>
        <v>54440</v>
      </c>
      <c r="Q217" s="16">
        <f t="shared" si="2"/>
        <v>108880</v>
      </c>
      <c r="R217" s="6"/>
      <c r="S217" s="6"/>
      <c r="T217" s="6"/>
      <c r="U217" s="6"/>
      <c r="V217" s="6"/>
      <c r="W217" s="6"/>
      <c r="X217" s="6"/>
      <c r="Y217" s="6"/>
    </row>
    <row r="218" ht="31.5" customHeight="1">
      <c r="A218" s="17">
        <v>216.0</v>
      </c>
      <c r="B218" s="10" t="s">
        <v>680</v>
      </c>
      <c r="C218" s="11" t="s">
        <v>681</v>
      </c>
      <c r="D218" s="12" t="s">
        <v>682</v>
      </c>
      <c r="E218" s="12"/>
      <c r="F218" s="12">
        <v>2021.0</v>
      </c>
      <c r="G218" s="14" t="s">
        <v>21</v>
      </c>
      <c r="H218" s="9"/>
      <c r="I218" s="11" t="s">
        <v>22</v>
      </c>
      <c r="J218" s="9">
        <v>196.0</v>
      </c>
      <c r="K218" s="9" t="s">
        <v>23</v>
      </c>
      <c r="L218" s="9" t="s">
        <v>24</v>
      </c>
      <c r="M218" s="11" t="s">
        <v>25</v>
      </c>
      <c r="N218" s="11" t="s">
        <v>26</v>
      </c>
      <c r="O218" s="9" t="s">
        <v>27</v>
      </c>
      <c r="P218" s="15">
        <f t="shared" si="4"/>
        <v>34400</v>
      </c>
      <c r="Q218" s="16">
        <f t="shared" si="2"/>
        <v>68800</v>
      </c>
      <c r="R218" s="6"/>
      <c r="S218" s="6"/>
      <c r="T218" s="6"/>
      <c r="U218" s="6"/>
      <c r="V218" s="6"/>
      <c r="W218" s="6"/>
      <c r="X218" s="6"/>
      <c r="Y218" s="6"/>
    </row>
    <row r="219" ht="31.5" customHeight="1">
      <c r="A219" s="17">
        <v>217.0</v>
      </c>
      <c r="B219" s="10" t="s">
        <v>683</v>
      </c>
      <c r="C219" s="11" t="s">
        <v>684</v>
      </c>
      <c r="D219" s="12" t="s">
        <v>685</v>
      </c>
      <c r="E219" s="12"/>
      <c r="F219" s="12">
        <v>2021.0</v>
      </c>
      <c r="G219" s="14" t="s">
        <v>21</v>
      </c>
      <c r="H219" s="9"/>
      <c r="I219" s="11" t="s">
        <v>22</v>
      </c>
      <c r="J219" s="9">
        <v>109.0</v>
      </c>
      <c r="K219" s="9" t="s">
        <v>23</v>
      </c>
      <c r="L219" s="9" t="s">
        <v>24</v>
      </c>
      <c r="M219" s="11" t="s">
        <v>25</v>
      </c>
      <c r="N219" s="11" t="s">
        <v>26</v>
      </c>
      <c r="O219" s="9" t="s">
        <v>27</v>
      </c>
      <c r="P219" s="15">
        <f t="shared" si="4"/>
        <v>21350</v>
      </c>
      <c r="Q219" s="16">
        <f t="shared" si="2"/>
        <v>42700</v>
      </c>
      <c r="R219" s="6"/>
      <c r="S219" s="6"/>
      <c r="T219" s="6"/>
      <c r="U219" s="6"/>
      <c r="V219" s="6"/>
      <c r="W219" s="6"/>
      <c r="X219" s="6"/>
      <c r="Y219" s="6"/>
    </row>
    <row r="220" ht="31.5" customHeight="1">
      <c r="A220" s="17">
        <v>218.0</v>
      </c>
      <c r="B220" s="10" t="s">
        <v>686</v>
      </c>
      <c r="C220" s="11" t="s">
        <v>687</v>
      </c>
      <c r="D220" s="12" t="s">
        <v>688</v>
      </c>
      <c r="E220" s="12"/>
      <c r="F220" s="12">
        <v>2021.0</v>
      </c>
      <c r="G220" s="14" t="s">
        <v>21</v>
      </c>
      <c r="H220" s="9"/>
      <c r="I220" s="11" t="s">
        <v>22</v>
      </c>
      <c r="J220" s="9">
        <v>171.0</v>
      </c>
      <c r="K220" s="9" t="s">
        <v>23</v>
      </c>
      <c r="L220" s="9" t="s">
        <v>24</v>
      </c>
      <c r="M220" s="11" t="s">
        <v>25</v>
      </c>
      <c r="N220" s="11" t="s">
        <v>26</v>
      </c>
      <c r="O220" s="9" t="s">
        <v>27</v>
      </c>
      <c r="P220" s="15">
        <f t="shared" si="4"/>
        <v>30650</v>
      </c>
      <c r="Q220" s="16">
        <f t="shared" si="2"/>
        <v>61300</v>
      </c>
      <c r="R220" s="6"/>
      <c r="S220" s="6"/>
      <c r="T220" s="6"/>
      <c r="U220" s="6"/>
      <c r="V220" s="6"/>
      <c r="W220" s="6"/>
      <c r="X220" s="6"/>
      <c r="Y220" s="6"/>
    </row>
    <row r="221" ht="31.5" customHeight="1">
      <c r="A221" s="17">
        <v>219.0</v>
      </c>
      <c r="B221" s="10" t="s">
        <v>689</v>
      </c>
      <c r="C221" s="11" t="s">
        <v>690</v>
      </c>
      <c r="D221" s="12" t="s">
        <v>691</v>
      </c>
      <c r="E221" s="12"/>
      <c r="F221" s="12">
        <v>2021.0</v>
      </c>
      <c r="G221" s="14" t="s">
        <v>21</v>
      </c>
      <c r="H221" s="9"/>
      <c r="I221" s="11" t="s">
        <v>22</v>
      </c>
      <c r="J221" s="9">
        <v>370.0</v>
      </c>
      <c r="K221" s="9" t="s">
        <v>23</v>
      </c>
      <c r="L221" s="9" t="s">
        <v>24</v>
      </c>
      <c r="M221" s="11" t="s">
        <v>25</v>
      </c>
      <c r="N221" s="11" t="s">
        <v>26</v>
      </c>
      <c r="O221" s="9" t="s">
        <v>27</v>
      </c>
      <c r="P221" s="15">
        <f t="shared" si="4"/>
        <v>60500</v>
      </c>
      <c r="Q221" s="16">
        <f t="shared" si="2"/>
        <v>121000</v>
      </c>
      <c r="R221" s="6"/>
      <c r="S221" s="6"/>
      <c r="T221" s="6"/>
      <c r="U221" s="6"/>
      <c r="V221" s="6"/>
      <c r="W221" s="6"/>
      <c r="X221" s="6"/>
      <c r="Y221" s="6"/>
    </row>
    <row r="222" ht="31.5" customHeight="1">
      <c r="A222" s="17">
        <v>220.0</v>
      </c>
      <c r="B222" s="10" t="s">
        <v>692</v>
      </c>
      <c r="C222" s="11" t="s">
        <v>693</v>
      </c>
      <c r="D222" s="12" t="s">
        <v>694</v>
      </c>
      <c r="E222" s="12"/>
      <c r="F222" s="12">
        <v>2021.0</v>
      </c>
      <c r="G222" s="14" t="s">
        <v>21</v>
      </c>
      <c r="H222" s="9"/>
      <c r="I222" s="11" t="s">
        <v>22</v>
      </c>
      <c r="J222" s="9">
        <v>227.0</v>
      </c>
      <c r="K222" s="9" t="s">
        <v>23</v>
      </c>
      <c r="L222" s="9" t="s">
        <v>24</v>
      </c>
      <c r="M222" s="11" t="s">
        <v>25</v>
      </c>
      <c r="N222" s="11" t="s">
        <v>26</v>
      </c>
      <c r="O222" s="9" t="s">
        <v>27</v>
      </c>
      <c r="P222" s="15">
        <f t="shared" si="4"/>
        <v>39050</v>
      </c>
      <c r="Q222" s="16">
        <f t="shared" si="2"/>
        <v>78100</v>
      </c>
      <c r="R222" s="6"/>
      <c r="S222" s="6"/>
      <c r="T222" s="6"/>
      <c r="U222" s="6"/>
      <c r="V222" s="6"/>
      <c r="W222" s="6"/>
      <c r="X222" s="6"/>
      <c r="Y222" s="6"/>
    </row>
    <row r="223" ht="31.5" customHeight="1">
      <c r="A223" s="17">
        <v>221.0</v>
      </c>
      <c r="B223" s="10" t="s">
        <v>695</v>
      </c>
      <c r="C223" s="11" t="s">
        <v>696</v>
      </c>
      <c r="D223" s="12" t="s">
        <v>697</v>
      </c>
      <c r="E223" s="12"/>
      <c r="F223" s="12">
        <v>2021.0</v>
      </c>
      <c r="G223" s="14" t="s">
        <v>21</v>
      </c>
      <c r="H223" s="9"/>
      <c r="I223" s="11" t="s">
        <v>663</v>
      </c>
      <c r="J223" s="9">
        <v>256.0</v>
      </c>
      <c r="K223" s="9" t="s">
        <v>23</v>
      </c>
      <c r="L223" s="9" t="s">
        <v>24</v>
      </c>
      <c r="M223" s="11" t="s">
        <v>25</v>
      </c>
      <c r="N223" s="11" t="s">
        <v>26</v>
      </c>
      <c r="O223" s="9" t="s">
        <v>27</v>
      </c>
      <c r="P223" s="15">
        <f t="shared" si="4"/>
        <v>59200</v>
      </c>
      <c r="Q223" s="16">
        <f t="shared" si="2"/>
        <v>118400</v>
      </c>
      <c r="R223" s="6"/>
      <c r="S223" s="6"/>
      <c r="T223" s="6"/>
      <c r="U223" s="6"/>
      <c r="V223" s="6"/>
      <c r="W223" s="6"/>
      <c r="X223" s="6"/>
      <c r="Y223" s="6"/>
    </row>
    <row r="224" ht="31.5" customHeight="1">
      <c r="A224" s="17">
        <v>222.0</v>
      </c>
      <c r="B224" s="10" t="s">
        <v>698</v>
      </c>
      <c r="C224" s="11" t="s">
        <v>699</v>
      </c>
      <c r="D224" s="12" t="s">
        <v>700</v>
      </c>
      <c r="E224" s="12"/>
      <c r="F224" s="12">
        <v>2021.0</v>
      </c>
      <c r="G224" s="14" t="s">
        <v>21</v>
      </c>
      <c r="H224" s="9"/>
      <c r="I224" s="11" t="s">
        <v>74</v>
      </c>
      <c r="J224" s="9">
        <v>279.0</v>
      </c>
      <c r="K224" s="9" t="s">
        <v>23</v>
      </c>
      <c r="L224" s="9" t="s">
        <v>24</v>
      </c>
      <c r="M224" s="11" t="s">
        <v>25</v>
      </c>
      <c r="N224" s="11" t="s">
        <v>26</v>
      </c>
      <c r="O224" s="9" t="s">
        <v>27</v>
      </c>
      <c r="P224" s="15">
        <f t="shared" si="4"/>
        <v>58220</v>
      </c>
      <c r="Q224" s="16">
        <f t="shared" si="2"/>
        <v>116440</v>
      </c>
      <c r="R224" s="6"/>
      <c r="S224" s="6"/>
      <c r="T224" s="6"/>
      <c r="U224" s="6"/>
      <c r="V224" s="6"/>
      <c r="W224" s="6"/>
      <c r="X224" s="6"/>
      <c r="Y224" s="6"/>
    </row>
    <row r="225" ht="31.5" customHeight="1">
      <c r="A225" s="17">
        <v>223.0</v>
      </c>
      <c r="B225" s="10" t="s">
        <v>701</v>
      </c>
      <c r="C225" s="11" t="s">
        <v>702</v>
      </c>
      <c r="D225" s="12" t="s">
        <v>703</v>
      </c>
      <c r="E225" s="12"/>
      <c r="F225" s="12">
        <v>2021.0</v>
      </c>
      <c r="G225" s="14" t="s">
        <v>21</v>
      </c>
      <c r="H225" s="9"/>
      <c r="I225" s="11" t="s">
        <v>704</v>
      </c>
      <c r="J225" s="9">
        <v>48.0</v>
      </c>
      <c r="K225" s="9" t="s">
        <v>23</v>
      </c>
      <c r="L225" s="9" t="s">
        <v>24</v>
      </c>
      <c r="M225" s="11" t="s">
        <v>25</v>
      </c>
      <c r="N225" s="11" t="s">
        <v>26</v>
      </c>
      <c r="O225" s="9" t="s">
        <v>27</v>
      </c>
      <c r="P225" s="15">
        <f>IFS(I225="A4",((J225*250)+10000),I225="A5",((J225*150)+5000),I225="B5",((J225*200)+8000),I225="UNESCO",((J225*180)+8000),TRUE,0)</f>
        <v>22000</v>
      </c>
      <c r="Q225" s="16">
        <f t="shared" si="2"/>
        <v>44000</v>
      </c>
      <c r="R225" s="6"/>
      <c r="S225" s="6"/>
      <c r="T225" s="6"/>
      <c r="U225" s="6"/>
      <c r="V225" s="6"/>
      <c r="W225" s="6"/>
      <c r="X225" s="6"/>
      <c r="Y225" s="6"/>
    </row>
    <row r="226" ht="31.5" customHeight="1">
      <c r="A226" s="17">
        <v>224.0</v>
      </c>
      <c r="B226" s="10" t="s">
        <v>705</v>
      </c>
      <c r="C226" s="11" t="s">
        <v>706</v>
      </c>
      <c r="D226" s="12" t="s">
        <v>707</v>
      </c>
      <c r="E226" s="12"/>
      <c r="F226" s="12">
        <v>2021.0</v>
      </c>
      <c r="G226" s="14" t="s">
        <v>21</v>
      </c>
      <c r="H226" s="9"/>
      <c r="I226" s="11" t="s">
        <v>204</v>
      </c>
      <c r="J226" s="17"/>
      <c r="K226" s="9" t="s">
        <v>23</v>
      </c>
      <c r="L226" s="9" t="s">
        <v>24</v>
      </c>
      <c r="M226" s="11" t="s">
        <v>25</v>
      </c>
      <c r="N226" s="11" t="s">
        <v>26</v>
      </c>
      <c r="O226" s="9" t="s">
        <v>27</v>
      </c>
      <c r="P226" s="15">
        <f t="shared" ref="P226:P429" si="5">IFS(I226="A5",((J226*150)+5000),I226="B5",((J226*200)+8000),I226="UNESCO",((J226*180)+8000),TRUE,0)</f>
        <v>0</v>
      </c>
      <c r="Q226" s="16">
        <f t="shared" si="2"/>
        <v>0</v>
      </c>
      <c r="R226" s="6"/>
      <c r="S226" s="6"/>
      <c r="T226" s="6"/>
      <c r="U226" s="6"/>
      <c r="V226" s="6"/>
      <c r="W226" s="6"/>
      <c r="X226" s="6"/>
      <c r="Y226" s="6"/>
    </row>
    <row r="227" ht="31.5" customHeight="1">
      <c r="A227" s="17">
        <v>225.0</v>
      </c>
      <c r="B227" s="10" t="s">
        <v>708</v>
      </c>
      <c r="C227" s="11" t="s">
        <v>709</v>
      </c>
      <c r="D227" s="12" t="s">
        <v>710</v>
      </c>
      <c r="E227" s="12"/>
      <c r="F227" s="12">
        <v>2021.0</v>
      </c>
      <c r="G227" s="14" t="s">
        <v>21</v>
      </c>
      <c r="H227" s="9"/>
      <c r="I227" s="11" t="s">
        <v>74</v>
      </c>
      <c r="J227" s="9">
        <v>127.0</v>
      </c>
      <c r="K227" s="9" t="s">
        <v>23</v>
      </c>
      <c r="L227" s="9" t="s">
        <v>24</v>
      </c>
      <c r="M227" s="11" t="s">
        <v>25</v>
      </c>
      <c r="N227" s="11" t="s">
        <v>26</v>
      </c>
      <c r="O227" s="9" t="s">
        <v>27</v>
      </c>
      <c r="P227" s="15">
        <f t="shared" si="5"/>
        <v>30860</v>
      </c>
      <c r="Q227" s="16">
        <f t="shared" si="2"/>
        <v>61720</v>
      </c>
      <c r="R227" s="6"/>
      <c r="S227" s="6"/>
      <c r="T227" s="6"/>
      <c r="U227" s="6"/>
      <c r="V227" s="6"/>
      <c r="W227" s="6"/>
      <c r="X227" s="6"/>
      <c r="Y227" s="6"/>
    </row>
    <row r="228" ht="31.5" customHeight="1">
      <c r="A228" s="17">
        <v>226.0</v>
      </c>
      <c r="B228" s="10" t="s">
        <v>711</v>
      </c>
      <c r="C228" s="11" t="s">
        <v>712</v>
      </c>
      <c r="D228" s="12" t="s">
        <v>713</v>
      </c>
      <c r="E228" s="12"/>
      <c r="F228" s="12">
        <v>2021.0</v>
      </c>
      <c r="G228" s="14" t="s">
        <v>21</v>
      </c>
      <c r="H228" s="9"/>
      <c r="I228" s="11" t="s">
        <v>74</v>
      </c>
      <c r="J228" s="9">
        <v>176.0</v>
      </c>
      <c r="K228" s="9" t="s">
        <v>23</v>
      </c>
      <c r="L228" s="9" t="s">
        <v>24</v>
      </c>
      <c r="M228" s="11" t="s">
        <v>25</v>
      </c>
      <c r="N228" s="11" t="s">
        <v>26</v>
      </c>
      <c r="O228" s="9" t="s">
        <v>27</v>
      </c>
      <c r="P228" s="15">
        <f t="shared" si="5"/>
        <v>39680</v>
      </c>
      <c r="Q228" s="16">
        <f t="shared" si="2"/>
        <v>79360</v>
      </c>
      <c r="R228" s="6"/>
      <c r="S228" s="6"/>
      <c r="T228" s="6"/>
      <c r="U228" s="6"/>
      <c r="V228" s="6"/>
      <c r="W228" s="6"/>
      <c r="X228" s="6"/>
      <c r="Y228" s="6"/>
    </row>
    <row r="229" ht="31.5" customHeight="1">
      <c r="A229" s="17">
        <v>227.0</v>
      </c>
      <c r="B229" s="10" t="s">
        <v>714</v>
      </c>
      <c r="C229" s="11" t="s">
        <v>715</v>
      </c>
      <c r="D229" s="12" t="s">
        <v>716</v>
      </c>
      <c r="E229" s="13" t="s">
        <v>81</v>
      </c>
      <c r="F229" s="12">
        <v>2021.0</v>
      </c>
      <c r="G229" s="14" t="s">
        <v>21</v>
      </c>
      <c r="H229" s="9"/>
      <c r="I229" s="11" t="s">
        <v>663</v>
      </c>
      <c r="J229" s="9">
        <v>148.0</v>
      </c>
      <c r="K229" s="9" t="s">
        <v>23</v>
      </c>
      <c r="L229" s="9" t="s">
        <v>24</v>
      </c>
      <c r="M229" s="11" t="s">
        <v>25</v>
      </c>
      <c r="N229" s="11" t="s">
        <v>26</v>
      </c>
      <c r="O229" s="9" t="s">
        <v>27</v>
      </c>
      <c r="P229" s="15">
        <f t="shared" si="5"/>
        <v>37600</v>
      </c>
      <c r="Q229" s="16">
        <f t="shared" si="2"/>
        <v>75200</v>
      </c>
      <c r="R229" s="6"/>
      <c r="S229" s="6"/>
      <c r="T229" s="6"/>
      <c r="U229" s="6"/>
      <c r="V229" s="6"/>
      <c r="W229" s="6"/>
      <c r="X229" s="6"/>
      <c r="Y229" s="6"/>
    </row>
    <row r="230" ht="31.5" customHeight="1">
      <c r="A230" s="17">
        <v>228.0</v>
      </c>
      <c r="B230" s="10" t="s">
        <v>717</v>
      </c>
      <c r="C230" s="11" t="s">
        <v>718</v>
      </c>
      <c r="D230" s="12" t="s">
        <v>719</v>
      </c>
      <c r="E230" s="12"/>
      <c r="F230" s="12">
        <v>2021.0</v>
      </c>
      <c r="G230" s="14" t="s">
        <v>21</v>
      </c>
      <c r="H230" s="9"/>
      <c r="I230" s="11" t="s">
        <v>204</v>
      </c>
      <c r="J230" s="9">
        <v>249.0</v>
      </c>
      <c r="K230" s="9" t="s">
        <v>23</v>
      </c>
      <c r="L230" s="9" t="s">
        <v>24</v>
      </c>
      <c r="M230" s="11" t="s">
        <v>25</v>
      </c>
      <c r="N230" s="11" t="s">
        <v>26</v>
      </c>
      <c r="O230" s="9" t="s">
        <v>27</v>
      </c>
      <c r="P230" s="15">
        <f t="shared" si="5"/>
        <v>0</v>
      </c>
      <c r="Q230" s="16">
        <f t="shared" si="2"/>
        <v>0</v>
      </c>
      <c r="R230" s="6"/>
      <c r="S230" s="6"/>
      <c r="T230" s="6"/>
      <c r="U230" s="6"/>
      <c r="V230" s="6"/>
      <c r="W230" s="6"/>
      <c r="X230" s="6"/>
      <c r="Y230" s="6"/>
    </row>
    <row r="231" ht="31.5" customHeight="1">
      <c r="A231" s="17">
        <v>229.0</v>
      </c>
      <c r="B231" s="10" t="s">
        <v>720</v>
      </c>
      <c r="C231" s="11" t="s">
        <v>721</v>
      </c>
      <c r="D231" s="12" t="s">
        <v>722</v>
      </c>
      <c r="E231" s="12"/>
      <c r="F231" s="12">
        <v>2021.0</v>
      </c>
      <c r="G231" s="14" t="s">
        <v>21</v>
      </c>
      <c r="H231" s="9" t="s">
        <v>382</v>
      </c>
      <c r="I231" s="11" t="s">
        <v>204</v>
      </c>
      <c r="J231" s="9">
        <v>389.0</v>
      </c>
      <c r="K231" s="9" t="s">
        <v>23</v>
      </c>
      <c r="L231" s="9" t="s">
        <v>24</v>
      </c>
      <c r="M231" s="11" t="s">
        <v>25</v>
      </c>
      <c r="N231" s="11" t="s">
        <v>26</v>
      </c>
      <c r="O231" s="9" t="s">
        <v>27</v>
      </c>
      <c r="P231" s="15">
        <f t="shared" si="5"/>
        <v>0</v>
      </c>
      <c r="Q231" s="16">
        <f t="shared" si="2"/>
        <v>0</v>
      </c>
      <c r="R231" s="6"/>
      <c r="S231" s="6"/>
      <c r="T231" s="6"/>
      <c r="U231" s="6"/>
      <c r="V231" s="6"/>
      <c r="W231" s="6"/>
      <c r="X231" s="6"/>
      <c r="Y231" s="6"/>
    </row>
    <row r="232" ht="31.5" customHeight="1">
      <c r="A232" s="17">
        <v>230.0</v>
      </c>
      <c r="B232" s="10" t="s">
        <v>723</v>
      </c>
      <c r="C232" s="11" t="s">
        <v>724</v>
      </c>
      <c r="D232" s="12" t="s">
        <v>725</v>
      </c>
      <c r="E232" s="12"/>
      <c r="F232" s="12">
        <v>2021.0</v>
      </c>
      <c r="G232" s="14" t="s">
        <v>21</v>
      </c>
      <c r="H232" s="9"/>
      <c r="I232" s="11" t="s">
        <v>22</v>
      </c>
      <c r="J232" s="9">
        <v>233.0</v>
      </c>
      <c r="K232" s="9" t="s">
        <v>23</v>
      </c>
      <c r="L232" s="9" t="s">
        <v>24</v>
      </c>
      <c r="M232" s="11" t="s">
        <v>25</v>
      </c>
      <c r="N232" s="11" t="s">
        <v>26</v>
      </c>
      <c r="O232" s="9" t="s">
        <v>27</v>
      </c>
      <c r="P232" s="15">
        <f t="shared" si="5"/>
        <v>39950</v>
      </c>
      <c r="Q232" s="16">
        <f t="shared" si="2"/>
        <v>79900</v>
      </c>
      <c r="R232" s="6"/>
      <c r="S232" s="6"/>
      <c r="T232" s="6"/>
      <c r="U232" s="6"/>
      <c r="V232" s="6"/>
      <c r="W232" s="6"/>
      <c r="X232" s="6"/>
      <c r="Y232" s="6"/>
    </row>
    <row r="233" ht="31.5" customHeight="1">
      <c r="A233" s="17">
        <v>231.0</v>
      </c>
      <c r="B233" s="10" t="s">
        <v>726</v>
      </c>
      <c r="C233" s="11" t="s">
        <v>727</v>
      </c>
      <c r="D233" s="12" t="s">
        <v>728</v>
      </c>
      <c r="E233" s="12"/>
      <c r="F233" s="12">
        <v>2021.0</v>
      </c>
      <c r="G233" s="14" t="s">
        <v>21</v>
      </c>
      <c r="H233" s="9"/>
      <c r="I233" s="11" t="s">
        <v>22</v>
      </c>
      <c r="J233" s="9">
        <v>180.0</v>
      </c>
      <c r="K233" s="9" t="s">
        <v>23</v>
      </c>
      <c r="L233" s="9" t="s">
        <v>24</v>
      </c>
      <c r="M233" s="11" t="s">
        <v>25</v>
      </c>
      <c r="N233" s="11" t="s">
        <v>26</v>
      </c>
      <c r="O233" s="9" t="s">
        <v>27</v>
      </c>
      <c r="P233" s="15">
        <f t="shared" si="5"/>
        <v>32000</v>
      </c>
      <c r="Q233" s="16">
        <f t="shared" si="2"/>
        <v>64000</v>
      </c>
      <c r="R233" s="6"/>
      <c r="S233" s="6"/>
      <c r="T233" s="6"/>
      <c r="U233" s="6"/>
      <c r="V233" s="6"/>
      <c r="W233" s="6"/>
      <c r="X233" s="6"/>
      <c r="Y233" s="6"/>
    </row>
    <row r="234" ht="31.5" customHeight="1">
      <c r="A234" s="17">
        <v>232.0</v>
      </c>
      <c r="B234" s="10" t="s">
        <v>729</v>
      </c>
      <c r="C234" s="11" t="s">
        <v>730</v>
      </c>
      <c r="D234" s="12" t="s">
        <v>731</v>
      </c>
      <c r="E234" s="12"/>
      <c r="F234" s="12">
        <v>2021.0</v>
      </c>
      <c r="G234" s="14" t="s">
        <v>21</v>
      </c>
      <c r="H234" s="9"/>
      <c r="I234" s="11" t="s">
        <v>204</v>
      </c>
      <c r="J234" s="17"/>
      <c r="K234" s="9" t="s">
        <v>23</v>
      </c>
      <c r="L234" s="9" t="s">
        <v>24</v>
      </c>
      <c r="M234" s="11" t="s">
        <v>25</v>
      </c>
      <c r="N234" s="11" t="s">
        <v>26</v>
      </c>
      <c r="O234" s="9" t="s">
        <v>27</v>
      </c>
      <c r="P234" s="15">
        <f t="shared" si="5"/>
        <v>0</v>
      </c>
      <c r="Q234" s="16">
        <f t="shared" si="2"/>
        <v>0</v>
      </c>
      <c r="R234" s="6"/>
      <c r="S234" s="6"/>
      <c r="T234" s="6"/>
      <c r="U234" s="6"/>
      <c r="V234" s="6"/>
      <c r="W234" s="6"/>
      <c r="X234" s="6"/>
      <c r="Y234" s="6"/>
    </row>
    <row r="235" ht="31.5" customHeight="1">
      <c r="A235" s="17">
        <v>233.0</v>
      </c>
      <c r="B235" s="10" t="s">
        <v>732</v>
      </c>
      <c r="C235" s="11" t="s">
        <v>733</v>
      </c>
      <c r="D235" s="12" t="s">
        <v>734</v>
      </c>
      <c r="E235" s="12"/>
      <c r="F235" s="12">
        <v>2021.0</v>
      </c>
      <c r="G235" s="14" t="s">
        <v>21</v>
      </c>
      <c r="H235" s="9"/>
      <c r="I235" s="11" t="s">
        <v>204</v>
      </c>
      <c r="J235" s="17"/>
      <c r="K235" s="9" t="s">
        <v>23</v>
      </c>
      <c r="L235" s="9" t="s">
        <v>24</v>
      </c>
      <c r="M235" s="11" t="s">
        <v>25</v>
      </c>
      <c r="N235" s="11" t="s">
        <v>26</v>
      </c>
      <c r="O235" s="9" t="s">
        <v>27</v>
      </c>
      <c r="P235" s="15">
        <f t="shared" si="5"/>
        <v>0</v>
      </c>
      <c r="Q235" s="16">
        <f t="shared" si="2"/>
        <v>0</v>
      </c>
      <c r="R235" s="6"/>
      <c r="S235" s="6"/>
      <c r="T235" s="6"/>
      <c r="U235" s="6"/>
      <c r="V235" s="6"/>
      <c r="W235" s="6"/>
      <c r="X235" s="6"/>
      <c r="Y235" s="6"/>
    </row>
    <row r="236" ht="31.5" customHeight="1">
      <c r="A236" s="17">
        <v>234.0</v>
      </c>
      <c r="B236" s="10" t="s">
        <v>735</v>
      </c>
      <c r="C236" s="11" t="s">
        <v>736</v>
      </c>
      <c r="D236" s="12" t="s">
        <v>737</v>
      </c>
      <c r="E236" s="12"/>
      <c r="F236" s="12">
        <v>2021.0</v>
      </c>
      <c r="G236" s="14" t="s">
        <v>21</v>
      </c>
      <c r="H236" s="9"/>
      <c r="I236" s="11" t="s">
        <v>204</v>
      </c>
      <c r="J236" s="17"/>
      <c r="K236" s="9" t="s">
        <v>23</v>
      </c>
      <c r="L236" s="9" t="s">
        <v>24</v>
      </c>
      <c r="M236" s="11" t="s">
        <v>25</v>
      </c>
      <c r="N236" s="11" t="s">
        <v>26</v>
      </c>
      <c r="O236" s="9" t="s">
        <v>27</v>
      </c>
      <c r="P236" s="15">
        <f t="shared" si="5"/>
        <v>0</v>
      </c>
      <c r="Q236" s="16">
        <f t="shared" si="2"/>
        <v>0</v>
      </c>
      <c r="R236" s="6"/>
      <c r="S236" s="6"/>
      <c r="T236" s="6"/>
      <c r="U236" s="6"/>
      <c r="V236" s="6"/>
      <c r="W236" s="6"/>
      <c r="X236" s="6"/>
      <c r="Y236" s="6"/>
    </row>
    <row r="237" ht="31.5" customHeight="1">
      <c r="A237" s="17">
        <v>235.0</v>
      </c>
      <c r="B237" s="10" t="s">
        <v>738</v>
      </c>
      <c r="C237" s="11" t="s">
        <v>733</v>
      </c>
      <c r="D237" s="12" t="s">
        <v>739</v>
      </c>
      <c r="E237" s="12"/>
      <c r="F237" s="12">
        <v>2021.0</v>
      </c>
      <c r="G237" s="14" t="s">
        <v>21</v>
      </c>
      <c r="H237" s="9"/>
      <c r="I237" s="11" t="s">
        <v>204</v>
      </c>
      <c r="J237" s="17"/>
      <c r="K237" s="9" t="s">
        <v>23</v>
      </c>
      <c r="L237" s="9" t="s">
        <v>24</v>
      </c>
      <c r="M237" s="11" t="s">
        <v>25</v>
      </c>
      <c r="N237" s="11" t="s">
        <v>26</v>
      </c>
      <c r="O237" s="9" t="s">
        <v>27</v>
      </c>
      <c r="P237" s="15">
        <f t="shared" si="5"/>
        <v>0</v>
      </c>
      <c r="Q237" s="16">
        <f t="shared" si="2"/>
        <v>0</v>
      </c>
      <c r="R237" s="6"/>
      <c r="S237" s="6"/>
      <c r="T237" s="6"/>
      <c r="U237" s="6"/>
      <c r="V237" s="6"/>
      <c r="W237" s="6"/>
      <c r="X237" s="6"/>
      <c r="Y237" s="6"/>
    </row>
    <row r="238" ht="31.5" customHeight="1">
      <c r="A238" s="17">
        <v>236.0</v>
      </c>
      <c r="B238" s="10" t="s">
        <v>740</v>
      </c>
      <c r="C238" s="11" t="s">
        <v>741</v>
      </c>
      <c r="D238" s="12" t="s">
        <v>742</v>
      </c>
      <c r="E238" s="12"/>
      <c r="F238" s="12">
        <v>2021.0</v>
      </c>
      <c r="G238" s="14" t="s">
        <v>21</v>
      </c>
      <c r="H238" s="9"/>
      <c r="I238" s="11" t="s">
        <v>204</v>
      </c>
      <c r="J238" s="17"/>
      <c r="K238" s="9" t="s">
        <v>23</v>
      </c>
      <c r="L238" s="9" t="s">
        <v>24</v>
      </c>
      <c r="M238" s="11" t="s">
        <v>25</v>
      </c>
      <c r="N238" s="11" t="s">
        <v>26</v>
      </c>
      <c r="O238" s="9" t="s">
        <v>27</v>
      </c>
      <c r="P238" s="15">
        <f t="shared" si="5"/>
        <v>0</v>
      </c>
      <c r="Q238" s="16">
        <f t="shared" si="2"/>
        <v>0</v>
      </c>
      <c r="R238" s="6"/>
      <c r="S238" s="6"/>
      <c r="T238" s="6"/>
      <c r="U238" s="6"/>
      <c r="V238" s="6"/>
      <c r="W238" s="6"/>
      <c r="X238" s="6"/>
      <c r="Y238" s="6"/>
    </row>
    <row r="239" ht="31.5" customHeight="1">
      <c r="A239" s="17">
        <v>237.0</v>
      </c>
      <c r="B239" s="10" t="s">
        <v>743</v>
      </c>
      <c r="C239" s="11" t="s">
        <v>744</v>
      </c>
      <c r="D239" s="12" t="s">
        <v>745</v>
      </c>
      <c r="E239" s="12"/>
      <c r="F239" s="12">
        <v>2021.0</v>
      </c>
      <c r="G239" s="14" t="s">
        <v>21</v>
      </c>
      <c r="H239" s="9" t="s">
        <v>382</v>
      </c>
      <c r="I239" s="11" t="s">
        <v>22</v>
      </c>
      <c r="J239" s="9">
        <v>134.0</v>
      </c>
      <c r="K239" s="9" t="s">
        <v>23</v>
      </c>
      <c r="L239" s="9" t="s">
        <v>24</v>
      </c>
      <c r="M239" s="11" t="s">
        <v>25</v>
      </c>
      <c r="N239" s="11" t="s">
        <v>26</v>
      </c>
      <c r="O239" s="9" t="s">
        <v>27</v>
      </c>
      <c r="P239" s="15">
        <f t="shared" si="5"/>
        <v>25100</v>
      </c>
      <c r="Q239" s="16">
        <f t="shared" si="2"/>
        <v>50200</v>
      </c>
      <c r="R239" s="6"/>
      <c r="S239" s="6"/>
      <c r="T239" s="6"/>
      <c r="U239" s="6"/>
      <c r="V239" s="6"/>
      <c r="W239" s="6"/>
      <c r="X239" s="6"/>
      <c r="Y239" s="6"/>
    </row>
    <row r="240" ht="31.5" customHeight="1">
      <c r="A240" s="17">
        <v>238.0</v>
      </c>
      <c r="B240" s="10" t="s">
        <v>746</v>
      </c>
      <c r="C240" s="11" t="s">
        <v>747</v>
      </c>
      <c r="D240" s="12" t="s">
        <v>748</v>
      </c>
      <c r="E240" s="12"/>
      <c r="F240" s="12">
        <v>2021.0</v>
      </c>
      <c r="G240" s="14" t="s">
        <v>21</v>
      </c>
      <c r="H240" s="9"/>
      <c r="I240" s="11" t="s">
        <v>204</v>
      </c>
      <c r="J240" s="17"/>
      <c r="K240" s="9" t="s">
        <v>23</v>
      </c>
      <c r="L240" s="9" t="s">
        <v>24</v>
      </c>
      <c r="M240" s="11" t="s">
        <v>25</v>
      </c>
      <c r="N240" s="11" t="s">
        <v>26</v>
      </c>
      <c r="O240" s="9" t="s">
        <v>27</v>
      </c>
      <c r="P240" s="15">
        <f t="shared" si="5"/>
        <v>0</v>
      </c>
      <c r="Q240" s="16">
        <f t="shared" si="2"/>
        <v>0</v>
      </c>
      <c r="R240" s="6"/>
      <c r="S240" s="6"/>
      <c r="T240" s="6"/>
      <c r="U240" s="6"/>
      <c r="V240" s="6"/>
      <c r="W240" s="6"/>
      <c r="X240" s="6"/>
      <c r="Y240" s="6"/>
    </row>
    <row r="241" ht="31.5" customHeight="1">
      <c r="A241" s="17">
        <v>239.0</v>
      </c>
      <c r="B241" s="10" t="s">
        <v>749</v>
      </c>
      <c r="C241" s="11" t="s">
        <v>750</v>
      </c>
      <c r="D241" s="12" t="s">
        <v>751</v>
      </c>
      <c r="E241" s="12"/>
      <c r="F241" s="12">
        <v>2021.0</v>
      </c>
      <c r="G241" s="14" t="s">
        <v>21</v>
      </c>
      <c r="H241" s="9"/>
      <c r="I241" s="11" t="s">
        <v>204</v>
      </c>
      <c r="J241" s="17"/>
      <c r="K241" s="9" t="s">
        <v>23</v>
      </c>
      <c r="L241" s="9" t="s">
        <v>24</v>
      </c>
      <c r="M241" s="11" t="s">
        <v>25</v>
      </c>
      <c r="N241" s="11" t="s">
        <v>26</v>
      </c>
      <c r="O241" s="9" t="s">
        <v>27</v>
      </c>
      <c r="P241" s="15">
        <f t="shared" si="5"/>
        <v>0</v>
      </c>
      <c r="Q241" s="16">
        <f t="shared" si="2"/>
        <v>0</v>
      </c>
      <c r="R241" s="6"/>
      <c r="S241" s="6"/>
      <c r="T241" s="6"/>
      <c r="U241" s="6"/>
      <c r="V241" s="6"/>
      <c r="W241" s="6"/>
      <c r="X241" s="6"/>
      <c r="Y241" s="6"/>
    </row>
    <row r="242" ht="31.5" customHeight="1">
      <c r="A242" s="17">
        <v>240.0</v>
      </c>
      <c r="B242" s="10" t="s">
        <v>752</v>
      </c>
      <c r="C242" s="11" t="s">
        <v>127</v>
      </c>
      <c r="D242" s="12" t="s">
        <v>753</v>
      </c>
      <c r="E242" s="13" t="s">
        <v>129</v>
      </c>
      <c r="F242" s="12">
        <v>2021.0</v>
      </c>
      <c r="G242" s="14" t="s">
        <v>21</v>
      </c>
      <c r="H242" s="9"/>
      <c r="I242" s="11" t="s">
        <v>204</v>
      </c>
      <c r="J242" s="17"/>
      <c r="K242" s="9" t="s">
        <v>23</v>
      </c>
      <c r="L242" s="9" t="s">
        <v>24</v>
      </c>
      <c r="M242" s="11" t="s">
        <v>25</v>
      </c>
      <c r="N242" s="11" t="s">
        <v>26</v>
      </c>
      <c r="O242" s="9" t="s">
        <v>27</v>
      </c>
      <c r="P242" s="15">
        <f t="shared" si="5"/>
        <v>0</v>
      </c>
      <c r="Q242" s="16">
        <f t="shared" si="2"/>
        <v>0</v>
      </c>
      <c r="R242" s="6"/>
      <c r="S242" s="6"/>
      <c r="T242" s="6"/>
      <c r="U242" s="6"/>
      <c r="V242" s="6"/>
      <c r="W242" s="6"/>
      <c r="X242" s="6"/>
      <c r="Y242" s="6"/>
    </row>
    <row r="243" ht="31.5" customHeight="1">
      <c r="A243" s="17">
        <v>241.0</v>
      </c>
      <c r="B243" s="10" t="s">
        <v>754</v>
      </c>
      <c r="C243" s="11" t="s">
        <v>755</v>
      </c>
      <c r="D243" s="12" t="s">
        <v>756</v>
      </c>
      <c r="E243" s="12"/>
      <c r="F243" s="12">
        <v>2021.0</v>
      </c>
      <c r="G243" s="14" t="s">
        <v>21</v>
      </c>
      <c r="H243" s="9"/>
      <c r="I243" s="11" t="s">
        <v>204</v>
      </c>
      <c r="J243" s="17"/>
      <c r="K243" s="9" t="s">
        <v>23</v>
      </c>
      <c r="L243" s="9" t="s">
        <v>24</v>
      </c>
      <c r="M243" s="11" t="s">
        <v>25</v>
      </c>
      <c r="N243" s="11" t="s">
        <v>26</v>
      </c>
      <c r="O243" s="9" t="s">
        <v>27</v>
      </c>
      <c r="P243" s="15">
        <f t="shared" si="5"/>
        <v>0</v>
      </c>
      <c r="Q243" s="16">
        <f t="shared" si="2"/>
        <v>0</v>
      </c>
      <c r="R243" s="6"/>
      <c r="S243" s="6"/>
      <c r="T243" s="6"/>
      <c r="U243" s="6"/>
      <c r="V243" s="6"/>
      <c r="W243" s="6"/>
      <c r="X243" s="6"/>
      <c r="Y243" s="6"/>
    </row>
    <row r="244" ht="31.5" customHeight="1">
      <c r="A244" s="17">
        <v>242.0</v>
      </c>
      <c r="B244" s="10" t="s">
        <v>757</v>
      </c>
      <c r="C244" s="11" t="s">
        <v>758</v>
      </c>
      <c r="D244" s="12" t="s">
        <v>759</v>
      </c>
      <c r="E244" s="12"/>
      <c r="F244" s="12">
        <v>2021.0</v>
      </c>
      <c r="G244" s="14" t="s">
        <v>21</v>
      </c>
      <c r="H244" s="9"/>
      <c r="I244" s="11" t="s">
        <v>663</v>
      </c>
      <c r="J244" s="9">
        <v>74.0</v>
      </c>
      <c r="K244" s="9" t="s">
        <v>23</v>
      </c>
      <c r="L244" s="9" t="s">
        <v>24</v>
      </c>
      <c r="M244" s="11" t="s">
        <v>25</v>
      </c>
      <c r="N244" s="11" t="s">
        <v>26</v>
      </c>
      <c r="O244" s="9" t="s">
        <v>27</v>
      </c>
      <c r="P244" s="15">
        <f t="shared" si="5"/>
        <v>22800</v>
      </c>
      <c r="Q244" s="16">
        <f t="shared" si="2"/>
        <v>45600</v>
      </c>
      <c r="R244" s="6"/>
      <c r="S244" s="6"/>
      <c r="T244" s="6"/>
      <c r="U244" s="6"/>
      <c r="V244" s="6"/>
      <c r="W244" s="6"/>
      <c r="X244" s="6"/>
      <c r="Y244" s="6"/>
    </row>
    <row r="245" ht="31.5" customHeight="1">
      <c r="A245" s="17">
        <v>243.0</v>
      </c>
      <c r="B245" s="10" t="s">
        <v>760</v>
      </c>
      <c r="C245" s="11" t="s">
        <v>761</v>
      </c>
      <c r="D245" s="12" t="s">
        <v>762</v>
      </c>
      <c r="E245" s="12"/>
      <c r="F245" s="12">
        <v>2021.0</v>
      </c>
      <c r="G245" s="14" t="s">
        <v>21</v>
      </c>
      <c r="H245" s="9"/>
      <c r="I245" s="11" t="s">
        <v>204</v>
      </c>
      <c r="J245" s="17"/>
      <c r="K245" s="9" t="s">
        <v>23</v>
      </c>
      <c r="L245" s="9" t="s">
        <v>24</v>
      </c>
      <c r="M245" s="11" t="s">
        <v>25</v>
      </c>
      <c r="N245" s="11" t="s">
        <v>26</v>
      </c>
      <c r="O245" s="9" t="s">
        <v>27</v>
      </c>
      <c r="P245" s="15">
        <f t="shared" si="5"/>
        <v>0</v>
      </c>
      <c r="Q245" s="16">
        <f t="shared" si="2"/>
        <v>0</v>
      </c>
      <c r="R245" s="6"/>
      <c r="S245" s="6"/>
      <c r="T245" s="6"/>
      <c r="U245" s="6"/>
      <c r="V245" s="6"/>
      <c r="W245" s="6"/>
      <c r="X245" s="6"/>
      <c r="Y245" s="6"/>
    </row>
    <row r="246" ht="31.5" customHeight="1">
      <c r="A246" s="17">
        <v>244.0</v>
      </c>
      <c r="B246" s="10" t="s">
        <v>763</v>
      </c>
      <c r="C246" s="11" t="s">
        <v>764</v>
      </c>
      <c r="D246" s="12" t="s">
        <v>765</v>
      </c>
      <c r="E246" s="12"/>
      <c r="F246" s="12">
        <v>2021.0</v>
      </c>
      <c r="G246" s="14" t="s">
        <v>21</v>
      </c>
      <c r="H246" s="9"/>
      <c r="I246" s="11" t="s">
        <v>22</v>
      </c>
      <c r="J246" s="9">
        <v>248.0</v>
      </c>
      <c r="K246" s="9" t="s">
        <v>23</v>
      </c>
      <c r="L246" s="9" t="s">
        <v>24</v>
      </c>
      <c r="M246" s="11" t="s">
        <v>25</v>
      </c>
      <c r="N246" s="11" t="s">
        <v>26</v>
      </c>
      <c r="O246" s="9" t="s">
        <v>27</v>
      </c>
      <c r="P246" s="15">
        <f t="shared" si="5"/>
        <v>42200</v>
      </c>
      <c r="Q246" s="16">
        <f t="shared" si="2"/>
        <v>84400</v>
      </c>
      <c r="R246" s="6"/>
      <c r="S246" s="6"/>
      <c r="T246" s="6"/>
      <c r="U246" s="6"/>
      <c r="V246" s="6"/>
      <c r="W246" s="6"/>
      <c r="X246" s="6"/>
      <c r="Y246" s="6"/>
    </row>
    <row r="247" ht="31.5" customHeight="1">
      <c r="A247" s="17">
        <v>245.0</v>
      </c>
      <c r="B247" s="10" t="s">
        <v>766</v>
      </c>
      <c r="C247" s="11" t="s">
        <v>767</v>
      </c>
      <c r="D247" s="12" t="s">
        <v>768</v>
      </c>
      <c r="E247" s="12"/>
      <c r="F247" s="12">
        <v>2021.0</v>
      </c>
      <c r="G247" s="14" t="s">
        <v>21</v>
      </c>
      <c r="H247" s="9"/>
      <c r="I247" s="11" t="s">
        <v>204</v>
      </c>
      <c r="J247" s="17"/>
      <c r="K247" s="9" t="s">
        <v>23</v>
      </c>
      <c r="L247" s="9" t="s">
        <v>24</v>
      </c>
      <c r="M247" s="11" t="s">
        <v>25</v>
      </c>
      <c r="N247" s="11" t="s">
        <v>26</v>
      </c>
      <c r="O247" s="9" t="s">
        <v>27</v>
      </c>
      <c r="P247" s="15">
        <f t="shared" si="5"/>
        <v>0</v>
      </c>
      <c r="Q247" s="16">
        <f t="shared" si="2"/>
        <v>0</v>
      </c>
      <c r="R247" s="6"/>
      <c r="S247" s="6"/>
      <c r="T247" s="6"/>
      <c r="U247" s="6"/>
      <c r="V247" s="6"/>
      <c r="W247" s="6"/>
      <c r="X247" s="6"/>
      <c r="Y247" s="6"/>
    </row>
    <row r="248" ht="31.5" customHeight="1">
      <c r="A248" s="17">
        <v>246.0</v>
      </c>
      <c r="B248" s="10" t="s">
        <v>769</v>
      </c>
      <c r="C248" s="11" t="s">
        <v>770</v>
      </c>
      <c r="D248" s="12" t="s">
        <v>771</v>
      </c>
      <c r="E248" s="12"/>
      <c r="F248" s="12">
        <v>2021.0</v>
      </c>
      <c r="G248" s="14" t="s">
        <v>21</v>
      </c>
      <c r="H248" s="9"/>
      <c r="I248" s="11" t="s">
        <v>204</v>
      </c>
      <c r="J248" s="17"/>
      <c r="K248" s="9" t="s">
        <v>23</v>
      </c>
      <c r="L248" s="9" t="s">
        <v>24</v>
      </c>
      <c r="M248" s="11" t="s">
        <v>25</v>
      </c>
      <c r="N248" s="11" t="s">
        <v>26</v>
      </c>
      <c r="O248" s="9" t="s">
        <v>27</v>
      </c>
      <c r="P248" s="15">
        <f t="shared" si="5"/>
        <v>0</v>
      </c>
      <c r="Q248" s="16">
        <f t="shared" si="2"/>
        <v>0</v>
      </c>
      <c r="R248" s="6"/>
      <c r="S248" s="6"/>
      <c r="T248" s="6"/>
      <c r="U248" s="6"/>
      <c r="V248" s="6"/>
      <c r="W248" s="6"/>
      <c r="X248" s="6"/>
      <c r="Y248" s="6"/>
    </row>
    <row r="249" ht="31.5" customHeight="1">
      <c r="A249" s="17">
        <v>247.0</v>
      </c>
      <c r="B249" s="10" t="s">
        <v>772</v>
      </c>
      <c r="C249" s="11" t="s">
        <v>773</v>
      </c>
      <c r="D249" s="12" t="s">
        <v>774</v>
      </c>
      <c r="E249" s="13" t="s">
        <v>102</v>
      </c>
      <c r="F249" s="12">
        <v>2021.0</v>
      </c>
      <c r="G249" s="14" t="s">
        <v>21</v>
      </c>
      <c r="H249" s="9"/>
      <c r="I249" s="11" t="s">
        <v>204</v>
      </c>
      <c r="J249" s="17"/>
      <c r="K249" s="9" t="s">
        <v>23</v>
      </c>
      <c r="L249" s="9" t="s">
        <v>24</v>
      </c>
      <c r="M249" s="11" t="s">
        <v>25</v>
      </c>
      <c r="N249" s="11" t="s">
        <v>26</v>
      </c>
      <c r="O249" s="9" t="s">
        <v>27</v>
      </c>
      <c r="P249" s="15">
        <f t="shared" si="5"/>
        <v>0</v>
      </c>
      <c r="Q249" s="16">
        <f t="shared" si="2"/>
        <v>0</v>
      </c>
      <c r="R249" s="6"/>
      <c r="S249" s="6"/>
      <c r="T249" s="6"/>
      <c r="U249" s="6"/>
      <c r="V249" s="6"/>
      <c r="W249" s="6"/>
      <c r="X249" s="6"/>
      <c r="Y249" s="6"/>
    </row>
    <row r="250" ht="31.5" customHeight="1">
      <c r="A250" s="17">
        <v>248.0</v>
      </c>
      <c r="B250" s="10" t="s">
        <v>775</v>
      </c>
      <c r="C250" s="11" t="s">
        <v>776</v>
      </c>
      <c r="D250" s="12" t="s">
        <v>777</v>
      </c>
      <c r="E250" s="12"/>
      <c r="F250" s="12">
        <v>2021.0</v>
      </c>
      <c r="G250" s="14" t="s">
        <v>21</v>
      </c>
      <c r="H250" s="9"/>
      <c r="I250" s="11" t="s">
        <v>204</v>
      </c>
      <c r="J250" s="17"/>
      <c r="K250" s="9" t="s">
        <v>23</v>
      </c>
      <c r="L250" s="9" t="s">
        <v>24</v>
      </c>
      <c r="M250" s="11" t="s">
        <v>25</v>
      </c>
      <c r="N250" s="11" t="s">
        <v>26</v>
      </c>
      <c r="O250" s="9" t="s">
        <v>27</v>
      </c>
      <c r="P250" s="15">
        <f t="shared" si="5"/>
        <v>0</v>
      </c>
      <c r="Q250" s="16">
        <f t="shared" si="2"/>
        <v>0</v>
      </c>
      <c r="R250" s="6"/>
      <c r="S250" s="6"/>
      <c r="T250" s="6"/>
      <c r="U250" s="6"/>
      <c r="V250" s="6"/>
      <c r="W250" s="6"/>
      <c r="X250" s="6"/>
      <c r="Y250" s="6"/>
    </row>
    <row r="251" ht="31.5" customHeight="1">
      <c r="A251" s="17">
        <v>249.0</v>
      </c>
      <c r="B251" s="10" t="s">
        <v>778</v>
      </c>
      <c r="C251" s="11" t="s">
        <v>779</v>
      </c>
      <c r="D251" s="12" t="s">
        <v>780</v>
      </c>
      <c r="E251" s="12"/>
      <c r="F251" s="12">
        <v>2021.0</v>
      </c>
      <c r="G251" s="14" t="s">
        <v>21</v>
      </c>
      <c r="H251" s="9"/>
      <c r="I251" s="11" t="s">
        <v>204</v>
      </c>
      <c r="J251" s="17"/>
      <c r="K251" s="9" t="s">
        <v>23</v>
      </c>
      <c r="L251" s="9" t="s">
        <v>24</v>
      </c>
      <c r="M251" s="11" t="s">
        <v>25</v>
      </c>
      <c r="N251" s="11" t="s">
        <v>26</v>
      </c>
      <c r="O251" s="9" t="s">
        <v>27</v>
      </c>
      <c r="P251" s="15">
        <f t="shared" si="5"/>
        <v>0</v>
      </c>
      <c r="Q251" s="16">
        <f t="shared" si="2"/>
        <v>0</v>
      </c>
      <c r="R251" s="6"/>
      <c r="S251" s="6"/>
      <c r="T251" s="6"/>
      <c r="U251" s="6"/>
      <c r="V251" s="6"/>
      <c r="W251" s="6"/>
      <c r="X251" s="6"/>
      <c r="Y251" s="6"/>
    </row>
    <row r="252" ht="31.5" customHeight="1">
      <c r="A252" s="17">
        <v>250.0</v>
      </c>
      <c r="B252" s="10" t="s">
        <v>781</v>
      </c>
      <c r="C252" s="11" t="s">
        <v>782</v>
      </c>
      <c r="D252" s="12" t="s">
        <v>783</v>
      </c>
      <c r="E252" s="12"/>
      <c r="F252" s="12">
        <v>2021.0</v>
      </c>
      <c r="G252" s="14" t="s">
        <v>21</v>
      </c>
      <c r="H252" s="9"/>
      <c r="I252" s="11" t="s">
        <v>204</v>
      </c>
      <c r="J252" s="17"/>
      <c r="K252" s="9" t="s">
        <v>23</v>
      </c>
      <c r="L252" s="9" t="s">
        <v>24</v>
      </c>
      <c r="M252" s="11" t="s">
        <v>25</v>
      </c>
      <c r="N252" s="11" t="s">
        <v>26</v>
      </c>
      <c r="O252" s="9" t="s">
        <v>27</v>
      </c>
      <c r="P252" s="15">
        <f t="shared" si="5"/>
        <v>0</v>
      </c>
      <c r="Q252" s="16">
        <f t="shared" si="2"/>
        <v>0</v>
      </c>
      <c r="R252" s="6"/>
      <c r="S252" s="6"/>
      <c r="T252" s="6"/>
      <c r="U252" s="6"/>
      <c r="V252" s="6"/>
      <c r="W252" s="6"/>
      <c r="X252" s="6"/>
      <c r="Y252" s="6"/>
    </row>
    <row r="253" ht="31.5" customHeight="1">
      <c r="A253" s="17">
        <v>251.0</v>
      </c>
      <c r="B253" s="10" t="s">
        <v>784</v>
      </c>
      <c r="C253" s="11" t="s">
        <v>782</v>
      </c>
      <c r="D253" s="12" t="s">
        <v>785</v>
      </c>
      <c r="E253" s="12"/>
      <c r="F253" s="12">
        <v>2021.0</v>
      </c>
      <c r="G253" s="14" t="s">
        <v>21</v>
      </c>
      <c r="H253" s="9"/>
      <c r="I253" s="11" t="s">
        <v>204</v>
      </c>
      <c r="J253" s="17"/>
      <c r="K253" s="9" t="s">
        <v>23</v>
      </c>
      <c r="L253" s="9" t="s">
        <v>24</v>
      </c>
      <c r="M253" s="11" t="s">
        <v>25</v>
      </c>
      <c r="N253" s="11" t="s">
        <v>26</v>
      </c>
      <c r="O253" s="9" t="s">
        <v>27</v>
      </c>
      <c r="P253" s="15">
        <f t="shared" si="5"/>
        <v>0</v>
      </c>
      <c r="Q253" s="16">
        <f t="shared" si="2"/>
        <v>0</v>
      </c>
      <c r="R253" s="6"/>
      <c r="S253" s="6"/>
      <c r="T253" s="6"/>
      <c r="U253" s="6"/>
      <c r="V253" s="6"/>
      <c r="W253" s="6"/>
      <c r="X253" s="6"/>
      <c r="Y253" s="6"/>
    </row>
    <row r="254" ht="31.5" customHeight="1">
      <c r="A254" s="17">
        <v>252.0</v>
      </c>
      <c r="B254" s="10" t="s">
        <v>786</v>
      </c>
      <c r="C254" s="11" t="s">
        <v>787</v>
      </c>
      <c r="D254" s="12" t="s">
        <v>788</v>
      </c>
      <c r="E254" s="12"/>
      <c r="F254" s="12">
        <v>2021.0</v>
      </c>
      <c r="G254" s="14" t="s">
        <v>21</v>
      </c>
      <c r="H254" s="9"/>
      <c r="I254" s="11" t="s">
        <v>204</v>
      </c>
      <c r="J254" s="17"/>
      <c r="K254" s="9" t="s">
        <v>23</v>
      </c>
      <c r="L254" s="9" t="s">
        <v>24</v>
      </c>
      <c r="M254" s="11" t="s">
        <v>25</v>
      </c>
      <c r="N254" s="11" t="s">
        <v>26</v>
      </c>
      <c r="O254" s="9" t="s">
        <v>27</v>
      </c>
      <c r="P254" s="15">
        <f t="shared" si="5"/>
        <v>0</v>
      </c>
      <c r="Q254" s="16">
        <f t="shared" si="2"/>
        <v>0</v>
      </c>
      <c r="R254" s="6"/>
      <c r="S254" s="6"/>
      <c r="T254" s="6"/>
      <c r="U254" s="6"/>
      <c r="V254" s="6"/>
      <c r="W254" s="6"/>
      <c r="X254" s="6"/>
      <c r="Y254" s="6"/>
    </row>
    <row r="255" ht="31.5" customHeight="1">
      <c r="A255" s="17">
        <v>253.0</v>
      </c>
      <c r="B255" s="10" t="s">
        <v>789</v>
      </c>
      <c r="C255" s="11" t="s">
        <v>790</v>
      </c>
      <c r="D255" s="12" t="s">
        <v>791</v>
      </c>
      <c r="E255" s="13" t="s">
        <v>48</v>
      </c>
      <c r="F255" s="12">
        <v>2021.0</v>
      </c>
      <c r="G255" s="14" t="s">
        <v>21</v>
      </c>
      <c r="H255" s="9"/>
      <c r="I255" s="11" t="s">
        <v>22</v>
      </c>
      <c r="J255" s="9">
        <v>252.0</v>
      </c>
      <c r="K255" s="9" t="s">
        <v>23</v>
      </c>
      <c r="L255" s="9" t="s">
        <v>24</v>
      </c>
      <c r="M255" s="11" t="s">
        <v>25</v>
      </c>
      <c r="N255" s="11" t="s">
        <v>26</v>
      </c>
      <c r="O255" s="9" t="s">
        <v>27</v>
      </c>
      <c r="P255" s="15">
        <f t="shared" si="5"/>
        <v>42800</v>
      </c>
      <c r="Q255" s="16">
        <f t="shared" si="2"/>
        <v>85600</v>
      </c>
      <c r="R255" s="6"/>
      <c r="S255" s="6"/>
      <c r="T255" s="6"/>
      <c r="U255" s="6"/>
      <c r="V255" s="6"/>
      <c r="W255" s="6"/>
      <c r="X255" s="6"/>
      <c r="Y255" s="6"/>
    </row>
    <row r="256" ht="31.5" customHeight="1">
      <c r="A256" s="17">
        <v>254.0</v>
      </c>
      <c r="B256" s="10" t="s">
        <v>792</v>
      </c>
      <c r="C256" s="11" t="s">
        <v>793</v>
      </c>
      <c r="D256" s="12" t="s">
        <v>794</v>
      </c>
      <c r="E256" s="12"/>
      <c r="F256" s="12">
        <v>2021.0</v>
      </c>
      <c r="G256" s="14" t="s">
        <v>21</v>
      </c>
      <c r="H256" s="9"/>
      <c r="I256" s="11" t="s">
        <v>204</v>
      </c>
      <c r="J256" s="17"/>
      <c r="K256" s="9" t="s">
        <v>23</v>
      </c>
      <c r="L256" s="9" t="s">
        <v>24</v>
      </c>
      <c r="M256" s="11" t="s">
        <v>25</v>
      </c>
      <c r="N256" s="11" t="s">
        <v>26</v>
      </c>
      <c r="O256" s="9" t="s">
        <v>27</v>
      </c>
      <c r="P256" s="15">
        <f t="shared" si="5"/>
        <v>0</v>
      </c>
      <c r="Q256" s="16">
        <f t="shared" si="2"/>
        <v>0</v>
      </c>
      <c r="R256" s="6"/>
      <c r="S256" s="6"/>
      <c r="T256" s="6"/>
      <c r="U256" s="6"/>
      <c r="V256" s="6"/>
      <c r="W256" s="6"/>
      <c r="X256" s="6"/>
      <c r="Y256" s="6"/>
    </row>
    <row r="257" ht="31.5" customHeight="1">
      <c r="A257" s="17">
        <v>255.0</v>
      </c>
      <c r="B257" s="10" t="s">
        <v>795</v>
      </c>
      <c r="C257" s="11" t="s">
        <v>793</v>
      </c>
      <c r="D257" s="12" t="s">
        <v>796</v>
      </c>
      <c r="E257" s="12"/>
      <c r="F257" s="12">
        <v>2021.0</v>
      </c>
      <c r="G257" s="14" t="s">
        <v>21</v>
      </c>
      <c r="H257" s="9"/>
      <c r="I257" s="11" t="s">
        <v>204</v>
      </c>
      <c r="J257" s="17"/>
      <c r="K257" s="9" t="s">
        <v>23</v>
      </c>
      <c r="L257" s="9" t="s">
        <v>24</v>
      </c>
      <c r="M257" s="11" t="s">
        <v>25</v>
      </c>
      <c r="N257" s="11" t="s">
        <v>26</v>
      </c>
      <c r="O257" s="9" t="s">
        <v>27</v>
      </c>
      <c r="P257" s="15">
        <f t="shared" si="5"/>
        <v>0</v>
      </c>
      <c r="Q257" s="16">
        <f t="shared" si="2"/>
        <v>0</v>
      </c>
      <c r="R257" s="6"/>
      <c r="S257" s="6"/>
      <c r="T257" s="6"/>
      <c r="U257" s="6"/>
      <c r="V257" s="6"/>
      <c r="W257" s="6"/>
      <c r="X257" s="6"/>
      <c r="Y257" s="6"/>
    </row>
    <row r="258" ht="31.5" customHeight="1">
      <c r="A258" s="17">
        <v>256.0</v>
      </c>
      <c r="B258" s="10" t="s">
        <v>797</v>
      </c>
      <c r="C258" s="11" t="s">
        <v>798</v>
      </c>
      <c r="D258" s="12" t="s">
        <v>799</v>
      </c>
      <c r="E258" s="12"/>
      <c r="F258" s="12">
        <v>2021.0</v>
      </c>
      <c r="G258" s="14" t="s">
        <v>21</v>
      </c>
      <c r="H258" s="9"/>
      <c r="I258" s="11" t="s">
        <v>204</v>
      </c>
      <c r="J258" s="17"/>
      <c r="K258" s="9" t="s">
        <v>23</v>
      </c>
      <c r="L258" s="9" t="s">
        <v>24</v>
      </c>
      <c r="M258" s="11" t="s">
        <v>25</v>
      </c>
      <c r="N258" s="11" t="s">
        <v>26</v>
      </c>
      <c r="O258" s="9" t="s">
        <v>27</v>
      </c>
      <c r="P258" s="15">
        <f t="shared" si="5"/>
        <v>0</v>
      </c>
      <c r="Q258" s="16">
        <f t="shared" si="2"/>
        <v>0</v>
      </c>
      <c r="R258" s="6"/>
      <c r="S258" s="6"/>
      <c r="T258" s="6"/>
      <c r="U258" s="6"/>
      <c r="V258" s="6"/>
      <c r="W258" s="6"/>
      <c r="X258" s="6"/>
      <c r="Y258" s="6"/>
    </row>
    <row r="259" ht="31.5" customHeight="1">
      <c r="A259" s="17">
        <v>257.0</v>
      </c>
      <c r="B259" s="10" t="s">
        <v>800</v>
      </c>
      <c r="C259" s="11" t="s">
        <v>801</v>
      </c>
      <c r="D259" s="12" t="s">
        <v>802</v>
      </c>
      <c r="E259" s="12"/>
      <c r="F259" s="12">
        <v>2021.0</v>
      </c>
      <c r="G259" s="14" t="s">
        <v>21</v>
      </c>
      <c r="H259" s="9"/>
      <c r="I259" s="11" t="s">
        <v>204</v>
      </c>
      <c r="J259" s="17"/>
      <c r="K259" s="9" t="s">
        <v>23</v>
      </c>
      <c r="L259" s="9" t="s">
        <v>24</v>
      </c>
      <c r="M259" s="11" t="s">
        <v>25</v>
      </c>
      <c r="N259" s="11" t="s">
        <v>26</v>
      </c>
      <c r="O259" s="9" t="s">
        <v>27</v>
      </c>
      <c r="P259" s="15">
        <f t="shared" si="5"/>
        <v>0</v>
      </c>
      <c r="Q259" s="16">
        <f t="shared" si="2"/>
        <v>0</v>
      </c>
      <c r="R259" s="6"/>
      <c r="S259" s="6"/>
      <c r="T259" s="6"/>
      <c r="U259" s="6"/>
      <c r="V259" s="6"/>
      <c r="W259" s="6"/>
      <c r="X259" s="6"/>
      <c r="Y259" s="6"/>
    </row>
    <row r="260" ht="31.5" customHeight="1">
      <c r="A260" s="17">
        <v>258.0</v>
      </c>
      <c r="B260" s="10" t="s">
        <v>803</v>
      </c>
      <c r="C260" s="11" t="s">
        <v>804</v>
      </c>
      <c r="D260" s="12" t="s">
        <v>805</v>
      </c>
      <c r="E260" s="12"/>
      <c r="F260" s="12">
        <v>2021.0</v>
      </c>
      <c r="G260" s="14" t="s">
        <v>21</v>
      </c>
      <c r="H260" s="9"/>
      <c r="I260" s="11" t="s">
        <v>204</v>
      </c>
      <c r="J260" s="17"/>
      <c r="K260" s="9" t="s">
        <v>23</v>
      </c>
      <c r="L260" s="9" t="s">
        <v>24</v>
      </c>
      <c r="M260" s="11" t="s">
        <v>25</v>
      </c>
      <c r="N260" s="11" t="s">
        <v>26</v>
      </c>
      <c r="O260" s="9" t="s">
        <v>27</v>
      </c>
      <c r="P260" s="15">
        <f t="shared" si="5"/>
        <v>0</v>
      </c>
      <c r="Q260" s="16">
        <f t="shared" si="2"/>
        <v>0</v>
      </c>
      <c r="R260" s="6"/>
      <c r="S260" s="6"/>
      <c r="T260" s="6"/>
      <c r="U260" s="6"/>
      <c r="V260" s="6"/>
      <c r="W260" s="6"/>
      <c r="X260" s="6"/>
      <c r="Y260" s="6"/>
    </row>
    <row r="261" ht="31.5" customHeight="1">
      <c r="A261" s="17">
        <v>259.0</v>
      </c>
      <c r="B261" s="10" t="s">
        <v>806</v>
      </c>
      <c r="C261" s="11" t="s">
        <v>587</v>
      </c>
      <c r="D261" s="12" t="s">
        <v>807</v>
      </c>
      <c r="E261" s="12"/>
      <c r="F261" s="12">
        <v>2021.0</v>
      </c>
      <c r="G261" s="14" t="s">
        <v>21</v>
      </c>
      <c r="H261" s="9"/>
      <c r="I261" s="11" t="s">
        <v>204</v>
      </c>
      <c r="J261" s="17"/>
      <c r="K261" s="9" t="s">
        <v>23</v>
      </c>
      <c r="L261" s="9" t="s">
        <v>24</v>
      </c>
      <c r="M261" s="11" t="s">
        <v>25</v>
      </c>
      <c r="N261" s="11" t="s">
        <v>26</v>
      </c>
      <c r="O261" s="9" t="s">
        <v>27</v>
      </c>
      <c r="P261" s="15">
        <f t="shared" si="5"/>
        <v>0</v>
      </c>
      <c r="Q261" s="16">
        <f t="shared" si="2"/>
        <v>0</v>
      </c>
      <c r="R261" s="6"/>
      <c r="S261" s="6"/>
      <c r="T261" s="6"/>
      <c r="U261" s="6"/>
      <c r="V261" s="6"/>
      <c r="W261" s="6"/>
      <c r="X261" s="6"/>
      <c r="Y261" s="6"/>
    </row>
    <row r="262" ht="31.5" customHeight="1">
      <c r="A262" s="17">
        <v>260.0</v>
      </c>
      <c r="B262" s="10" t="s">
        <v>808</v>
      </c>
      <c r="C262" s="11" t="s">
        <v>809</v>
      </c>
      <c r="D262" s="12" t="s">
        <v>810</v>
      </c>
      <c r="E262" s="12"/>
      <c r="F262" s="12">
        <v>2021.0</v>
      </c>
      <c r="G262" s="14" t="s">
        <v>21</v>
      </c>
      <c r="H262" s="9"/>
      <c r="I262" s="11" t="s">
        <v>204</v>
      </c>
      <c r="J262" s="17"/>
      <c r="K262" s="9" t="s">
        <v>23</v>
      </c>
      <c r="L262" s="9" t="s">
        <v>24</v>
      </c>
      <c r="M262" s="11" t="s">
        <v>25</v>
      </c>
      <c r="N262" s="11" t="s">
        <v>26</v>
      </c>
      <c r="O262" s="9" t="s">
        <v>27</v>
      </c>
      <c r="P262" s="15">
        <f t="shared" si="5"/>
        <v>0</v>
      </c>
      <c r="Q262" s="16">
        <f t="shared" si="2"/>
        <v>0</v>
      </c>
      <c r="R262" s="6"/>
      <c r="S262" s="6"/>
      <c r="T262" s="6"/>
      <c r="U262" s="6"/>
      <c r="V262" s="6"/>
      <c r="W262" s="6"/>
      <c r="X262" s="6"/>
      <c r="Y262" s="6"/>
    </row>
    <row r="263" ht="31.5" customHeight="1">
      <c r="A263" s="17">
        <v>261.0</v>
      </c>
      <c r="B263" s="10" t="s">
        <v>811</v>
      </c>
      <c r="C263" s="11" t="s">
        <v>812</v>
      </c>
      <c r="D263" s="12" t="s">
        <v>813</v>
      </c>
      <c r="E263" s="12"/>
      <c r="F263" s="12">
        <v>2021.0</v>
      </c>
      <c r="G263" s="14" t="s">
        <v>21</v>
      </c>
      <c r="H263" s="9"/>
      <c r="I263" s="11" t="s">
        <v>204</v>
      </c>
      <c r="J263" s="17"/>
      <c r="K263" s="9" t="s">
        <v>23</v>
      </c>
      <c r="L263" s="9" t="s">
        <v>24</v>
      </c>
      <c r="M263" s="11" t="s">
        <v>25</v>
      </c>
      <c r="N263" s="11" t="s">
        <v>26</v>
      </c>
      <c r="O263" s="9" t="s">
        <v>27</v>
      </c>
      <c r="P263" s="15">
        <f t="shared" si="5"/>
        <v>0</v>
      </c>
      <c r="Q263" s="16">
        <f t="shared" si="2"/>
        <v>0</v>
      </c>
      <c r="R263" s="6"/>
      <c r="S263" s="6"/>
      <c r="T263" s="6"/>
      <c r="U263" s="6"/>
      <c r="V263" s="6"/>
      <c r="W263" s="6"/>
      <c r="X263" s="6"/>
      <c r="Y263" s="6"/>
    </row>
    <row r="264" ht="31.5" customHeight="1">
      <c r="A264" s="17">
        <v>262.0</v>
      </c>
      <c r="B264" s="10" t="s">
        <v>814</v>
      </c>
      <c r="C264" s="11" t="s">
        <v>815</v>
      </c>
      <c r="D264" s="12" t="s">
        <v>816</v>
      </c>
      <c r="E264" s="12"/>
      <c r="F264" s="12">
        <v>2021.0</v>
      </c>
      <c r="G264" s="14" t="s">
        <v>21</v>
      </c>
      <c r="H264" s="9"/>
      <c r="I264" s="11" t="s">
        <v>204</v>
      </c>
      <c r="J264" s="17"/>
      <c r="K264" s="9" t="s">
        <v>23</v>
      </c>
      <c r="L264" s="9" t="s">
        <v>24</v>
      </c>
      <c r="M264" s="11" t="s">
        <v>25</v>
      </c>
      <c r="N264" s="11" t="s">
        <v>26</v>
      </c>
      <c r="O264" s="9" t="s">
        <v>27</v>
      </c>
      <c r="P264" s="15">
        <f t="shared" si="5"/>
        <v>0</v>
      </c>
      <c r="Q264" s="16">
        <f t="shared" si="2"/>
        <v>0</v>
      </c>
      <c r="R264" s="6"/>
      <c r="S264" s="6"/>
      <c r="T264" s="6"/>
      <c r="U264" s="6"/>
      <c r="V264" s="6"/>
      <c r="W264" s="6"/>
      <c r="X264" s="6"/>
      <c r="Y264" s="6"/>
    </row>
    <row r="265" ht="31.5" customHeight="1">
      <c r="A265" s="17">
        <v>263.0</v>
      </c>
      <c r="B265" s="10" t="s">
        <v>817</v>
      </c>
      <c r="C265" s="11" t="s">
        <v>818</v>
      </c>
      <c r="D265" s="12" t="s">
        <v>819</v>
      </c>
      <c r="E265" s="12"/>
      <c r="F265" s="12">
        <v>2021.0</v>
      </c>
      <c r="G265" s="14" t="s">
        <v>21</v>
      </c>
      <c r="H265" s="9"/>
      <c r="I265" s="11" t="s">
        <v>204</v>
      </c>
      <c r="J265" s="17"/>
      <c r="K265" s="9" t="s">
        <v>23</v>
      </c>
      <c r="L265" s="9" t="s">
        <v>24</v>
      </c>
      <c r="M265" s="11" t="s">
        <v>25</v>
      </c>
      <c r="N265" s="11" t="s">
        <v>26</v>
      </c>
      <c r="O265" s="9" t="s">
        <v>27</v>
      </c>
      <c r="P265" s="15">
        <f t="shared" si="5"/>
        <v>0</v>
      </c>
      <c r="Q265" s="16">
        <f t="shared" si="2"/>
        <v>0</v>
      </c>
      <c r="R265" s="6"/>
      <c r="S265" s="6"/>
      <c r="T265" s="6"/>
      <c r="U265" s="6"/>
      <c r="V265" s="6"/>
      <c r="W265" s="6"/>
      <c r="X265" s="6"/>
      <c r="Y265" s="6"/>
    </row>
    <row r="266" ht="31.5" customHeight="1">
      <c r="A266" s="17">
        <v>264.0</v>
      </c>
      <c r="B266" s="10" t="s">
        <v>820</v>
      </c>
      <c r="C266" s="11" t="s">
        <v>821</v>
      </c>
      <c r="D266" s="12" t="s">
        <v>822</v>
      </c>
      <c r="E266" s="12"/>
      <c r="F266" s="12">
        <v>2021.0</v>
      </c>
      <c r="G266" s="14" t="s">
        <v>21</v>
      </c>
      <c r="H266" s="9"/>
      <c r="I266" s="11" t="s">
        <v>204</v>
      </c>
      <c r="J266" s="17"/>
      <c r="K266" s="9" t="s">
        <v>23</v>
      </c>
      <c r="L266" s="9" t="s">
        <v>24</v>
      </c>
      <c r="M266" s="11" t="s">
        <v>25</v>
      </c>
      <c r="N266" s="11" t="s">
        <v>26</v>
      </c>
      <c r="O266" s="9" t="s">
        <v>27</v>
      </c>
      <c r="P266" s="15">
        <f t="shared" si="5"/>
        <v>0</v>
      </c>
      <c r="Q266" s="16">
        <f t="shared" si="2"/>
        <v>0</v>
      </c>
      <c r="R266" s="6"/>
      <c r="S266" s="6"/>
      <c r="T266" s="6"/>
      <c r="U266" s="6"/>
      <c r="V266" s="6"/>
      <c r="W266" s="6"/>
      <c r="X266" s="6"/>
      <c r="Y266" s="6"/>
    </row>
    <row r="267" ht="31.5" customHeight="1">
      <c r="A267" s="17">
        <v>265.0</v>
      </c>
      <c r="B267" s="10" t="s">
        <v>823</v>
      </c>
      <c r="C267" s="11" t="s">
        <v>824</v>
      </c>
      <c r="D267" s="12" t="s">
        <v>825</v>
      </c>
      <c r="E267" s="12"/>
      <c r="F267" s="12">
        <v>2021.0</v>
      </c>
      <c r="G267" s="14" t="s">
        <v>21</v>
      </c>
      <c r="H267" s="9"/>
      <c r="I267" s="11" t="s">
        <v>204</v>
      </c>
      <c r="J267" s="17"/>
      <c r="K267" s="9" t="s">
        <v>23</v>
      </c>
      <c r="L267" s="9" t="s">
        <v>24</v>
      </c>
      <c r="M267" s="11" t="s">
        <v>25</v>
      </c>
      <c r="N267" s="11" t="s">
        <v>26</v>
      </c>
      <c r="O267" s="9" t="s">
        <v>27</v>
      </c>
      <c r="P267" s="15">
        <f t="shared" si="5"/>
        <v>0</v>
      </c>
      <c r="Q267" s="16">
        <f t="shared" si="2"/>
        <v>0</v>
      </c>
      <c r="R267" s="6"/>
      <c r="S267" s="6"/>
      <c r="T267" s="6"/>
      <c r="U267" s="6"/>
      <c r="V267" s="6"/>
      <c r="W267" s="6"/>
      <c r="X267" s="6"/>
      <c r="Y267" s="6"/>
    </row>
    <row r="268" ht="31.5" customHeight="1">
      <c r="A268" s="17">
        <v>266.0</v>
      </c>
      <c r="B268" s="10" t="s">
        <v>826</v>
      </c>
      <c r="C268" s="11" t="s">
        <v>827</v>
      </c>
      <c r="D268" s="12" t="s">
        <v>828</v>
      </c>
      <c r="E268" s="12"/>
      <c r="F268" s="12">
        <v>2021.0</v>
      </c>
      <c r="G268" s="14" t="s">
        <v>21</v>
      </c>
      <c r="H268" s="9"/>
      <c r="I268" s="11" t="s">
        <v>204</v>
      </c>
      <c r="J268" s="17"/>
      <c r="K268" s="9" t="s">
        <v>23</v>
      </c>
      <c r="L268" s="9" t="s">
        <v>24</v>
      </c>
      <c r="M268" s="11" t="s">
        <v>25</v>
      </c>
      <c r="N268" s="11" t="s">
        <v>26</v>
      </c>
      <c r="O268" s="9" t="s">
        <v>27</v>
      </c>
      <c r="P268" s="15">
        <f t="shared" si="5"/>
        <v>0</v>
      </c>
      <c r="Q268" s="16">
        <f t="shared" si="2"/>
        <v>0</v>
      </c>
      <c r="R268" s="6"/>
      <c r="S268" s="6"/>
      <c r="T268" s="6"/>
      <c r="U268" s="6"/>
      <c r="V268" s="6"/>
      <c r="W268" s="6"/>
      <c r="X268" s="6"/>
      <c r="Y268" s="6"/>
    </row>
    <row r="269" ht="31.5" customHeight="1">
      <c r="A269" s="17">
        <v>267.0</v>
      </c>
      <c r="B269" s="10" t="s">
        <v>829</v>
      </c>
      <c r="C269" s="11" t="s">
        <v>830</v>
      </c>
      <c r="D269" s="12" t="s">
        <v>831</v>
      </c>
      <c r="E269" s="12"/>
      <c r="F269" s="12">
        <v>2021.0</v>
      </c>
      <c r="G269" s="14" t="s">
        <v>21</v>
      </c>
      <c r="H269" s="9"/>
      <c r="I269" s="11" t="s">
        <v>204</v>
      </c>
      <c r="J269" s="17"/>
      <c r="K269" s="9" t="s">
        <v>23</v>
      </c>
      <c r="L269" s="9" t="s">
        <v>24</v>
      </c>
      <c r="M269" s="11" t="s">
        <v>25</v>
      </c>
      <c r="N269" s="11" t="s">
        <v>26</v>
      </c>
      <c r="O269" s="9" t="s">
        <v>27</v>
      </c>
      <c r="P269" s="15">
        <f t="shared" si="5"/>
        <v>0</v>
      </c>
      <c r="Q269" s="16">
        <f t="shared" si="2"/>
        <v>0</v>
      </c>
      <c r="R269" s="6"/>
      <c r="S269" s="6"/>
      <c r="T269" s="6"/>
      <c r="U269" s="6"/>
      <c r="V269" s="6"/>
      <c r="W269" s="6"/>
      <c r="X269" s="6"/>
      <c r="Y269" s="6"/>
    </row>
    <row r="270" ht="31.5" customHeight="1">
      <c r="A270" s="17">
        <v>268.0</v>
      </c>
      <c r="B270" s="10" t="s">
        <v>832</v>
      </c>
      <c r="C270" s="11" t="s">
        <v>833</v>
      </c>
      <c r="D270" s="12" t="s">
        <v>834</v>
      </c>
      <c r="E270" s="12"/>
      <c r="F270" s="12">
        <v>2021.0</v>
      </c>
      <c r="G270" s="14" t="s">
        <v>21</v>
      </c>
      <c r="H270" s="9"/>
      <c r="I270" s="11" t="s">
        <v>204</v>
      </c>
      <c r="J270" s="17"/>
      <c r="K270" s="9" t="s">
        <v>23</v>
      </c>
      <c r="L270" s="9" t="s">
        <v>24</v>
      </c>
      <c r="M270" s="11" t="s">
        <v>25</v>
      </c>
      <c r="N270" s="11" t="s">
        <v>26</v>
      </c>
      <c r="O270" s="9" t="s">
        <v>27</v>
      </c>
      <c r="P270" s="15">
        <f t="shared" si="5"/>
        <v>0</v>
      </c>
      <c r="Q270" s="16">
        <f t="shared" si="2"/>
        <v>0</v>
      </c>
      <c r="R270" s="6"/>
      <c r="S270" s="6"/>
      <c r="T270" s="6"/>
      <c r="U270" s="6"/>
      <c r="V270" s="6"/>
      <c r="W270" s="6"/>
      <c r="X270" s="6"/>
      <c r="Y270" s="6"/>
    </row>
    <row r="271" ht="31.5" customHeight="1">
      <c r="A271" s="17">
        <v>269.0</v>
      </c>
      <c r="B271" s="10" t="s">
        <v>835</v>
      </c>
      <c r="C271" s="11" t="s">
        <v>836</v>
      </c>
      <c r="D271" s="12" t="s">
        <v>837</v>
      </c>
      <c r="E271" s="12"/>
      <c r="F271" s="12">
        <v>2021.0</v>
      </c>
      <c r="G271" s="14" t="s">
        <v>21</v>
      </c>
      <c r="H271" s="9"/>
      <c r="I271" s="11" t="s">
        <v>204</v>
      </c>
      <c r="J271" s="17"/>
      <c r="K271" s="9" t="s">
        <v>23</v>
      </c>
      <c r="L271" s="9" t="s">
        <v>24</v>
      </c>
      <c r="M271" s="11" t="s">
        <v>25</v>
      </c>
      <c r="N271" s="11" t="s">
        <v>26</v>
      </c>
      <c r="O271" s="9" t="s">
        <v>27</v>
      </c>
      <c r="P271" s="15">
        <f t="shared" si="5"/>
        <v>0</v>
      </c>
      <c r="Q271" s="16">
        <f t="shared" si="2"/>
        <v>0</v>
      </c>
      <c r="R271" s="6"/>
      <c r="S271" s="6"/>
      <c r="T271" s="6"/>
      <c r="U271" s="6"/>
      <c r="V271" s="6"/>
      <c r="W271" s="6"/>
      <c r="X271" s="6"/>
      <c r="Y271" s="6"/>
    </row>
    <row r="272" ht="31.5" customHeight="1">
      <c r="A272" s="17">
        <v>270.0</v>
      </c>
      <c r="B272" s="10" t="s">
        <v>838</v>
      </c>
      <c r="C272" s="11" t="s">
        <v>597</v>
      </c>
      <c r="D272" s="12" t="s">
        <v>839</v>
      </c>
      <c r="E272" s="13" t="s">
        <v>599</v>
      </c>
      <c r="F272" s="12">
        <v>2021.0</v>
      </c>
      <c r="G272" s="14" t="s">
        <v>21</v>
      </c>
      <c r="H272" s="9"/>
      <c r="I272" s="11" t="s">
        <v>204</v>
      </c>
      <c r="J272" s="17"/>
      <c r="K272" s="9" t="s">
        <v>23</v>
      </c>
      <c r="L272" s="9" t="s">
        <v>24</v>
      </c>
      <c r="M272" s="11" t="s">
        <v>25</v>
      </c>
      <c r="N272" s="11" t="s">
        <v>26</v>
      </c>
      <c r="O272" s="9" t="s">
        <v>27</v>
      </c>
      <c r="P272" s="15">
        <f t="shared" si="5"/>
        <v>0</v>
      </c>
      <c r="Q272" s="16">
        <f t="shared" si="2"/>
        <v>0</v>
      </c>
      <c r="R272" s="6"/>
      <c r="S272" s="6"/>
      <c r="T272" s="6"/>
      <c r="U272" s="6"/>
      <c r="V272" s="6"/>
      <c r="W272" s="6"/>
      <c r="X272" s="6"/>
      <c r="Y272" s="6"/>
    </row>
    <row r="273" ht="42.0" customHeight="1">
      <c r="A273" s="17">
        <v>271.0</v>
      </c>
      <c r="B273" s="10" t="s">
        <v>840</v>
      </c>
      <c r="C273" s="11" t="s">
        <v>841</v>
      </c>
      <c r="D273" s="12" t="s">
        <v>842</v>
      </c>
      <c r="E273" s="12"/>
      <c r="F273" s="12">
        <v>2021.0</v>
      </c>
      <c r="G273" s="14" t="s">
        <v>21</v>
      </c>
      <c r="H273" s="9"/>
      <c r="I273" s="11" t="s">
        <v>663</v>
      </c>
      <c r="J273" s="9">
        <v>214.0</v>
      </c>
      <c r="K273" s="9" t="s">
        <v>23</v>
      </c>
      <c r="L273" s="9" t="s">
        <v>24</v>
      </c>
      <c r="M273" s="11" t="s">
        <v>25</v>
      </c>
      <c r="N273" s="11" t="s">
        <v>26</v>
      </c>
      <c r="O273" s="9" t="s">
        <v>27</v>
      </c>
      <c r="P273" s="15">
        <f t="shared" si="5"/>
        <v>50800</v>
      </c>
      <c r="Q273" s="16">
        <f t="shared" si="2"/>
        <v>101600</v>
      </c>
      <c r="R273" s="6"/>
      <c r="S273" s="6"/>
      <c r="T273" s="6"/>
      <c r="U273" s="6"/>
      <c r="V273" s="6"/>
      <c r="W273" s="6"/>
      <c r="X273" s="6"/>
      <c r="Y273" s="6"/>
    </row>
    <row r="274" ht="31.5" customHeight="1">
      <c r="A274" s="17">
        <v>272.0</v>
      </c>
      <c r="B274" s="10" t="s">
        <v>843</v>
      </c>
      <c r="C274" s="11" t="s">
        <v>844</v>
      </c>
      <c r="D274" s="12" t="s">
        <v>845</v>
      </c>
      <c r="E274" s="12"/>
      <c r="F274" s="12">
        <v>2021.0</v>
      </c>
      <c r="G274" s="14" t="s">
        <v>21</v>
      </c>
      <c r="H274" s="9" t="s">
        <v>382</v>
      </c>
      <c r="I274" s="11" t="s">
        <v>22</v>
      </c>
      <c r="J274" s="9">
        <v>203.0</v>
      </c>
      <c r="K274" s="9" t="s">
        <v>23</v>
      </c>
      <c r="L274" s="9" t="s">
        <v>24</v>
      </c>
      <c r="M274" s="11" t="s">
        <v>25</v>
      </c>
      <c r="N274" s="11" t="s">
        <v>26</v>
      </c>
      <c r="O274" s="9" t="s">
        <v>27</v>
      </c>
      <c r="P274" s="15">
        <f t="shared" si="5"/>
        <v>35450</v>
      </c>
      <c r="Q274" s="16">
        <f t="shared" si="2"/>
        <v>70900</v>
      </c>
      <c r="R274" s="6"/>
      <c r="S274" s="6"/>
      <c r="T274" s="6"/>
      <c r="U274" s="6"/>
      <c r="V274" s="6"/>
      <c r="W274" s="6"/>
      <c r="X274" s="6"/>
      <c r="Y274" s="6"/>
    </row>
    <row r="275" ht="31.5" customHeight="1">
      <c r="A275" s="17">
        <v>273.0</v>
      </c>
      <c r="B275" s="10" t="s">
        <v>846</v>
      </c>
      <c r="C275" s="11" t="s">
        <v>847</v>
      </c>
      <c r="D275" s="12" t="s">
        <v>848</v>
      </c>
      <c r="E275" s="12"/>
      <c r="F275" s="12">
        <v>2021.0</v>
      </c>
      <c r="G275" s="14" t="s">
        <v>21</v>
      </c>
      <c r="H275" s="9"/>
      <c r="I275" s="11" t="s">
        <v>22</v>
      </c>
      <c r="J275" s="9">
        <v>354.0</v>
      </c>
      <c r="K275" s="9" t="s">
        <v>23</v>
      </c>
      <c r="L275" s="9" t="s">
        <v>24</v>
      </c>
      <c r="M275" s="11" t="s">
        <v>25</v>
      </c>
      <c r="N275" s="11" t="s">
        <v>26</v>
      </c>
      <c r="O275" s="9" t="s">
        <v>27</v>
      </c>
      <c r="P275" s="15">
        <f t="shared" si="5"/>
        <v>58100</v>
      </c>
      <c r="Q275" s="16">
        <f t="shared" si="2"/>
        <v>116200</v>
      </c>
      <c r="R275" s="6"/>
      <c r="S275" s="6"/>
      <c r="T275" s="6"/>
      <c r="U275" s="6"/>
      <c r="V275" s="6"/>
      <c r="W275" s="6"/>
      <c r="X275" s="6"/>
      <c r="Y275" s="6"/>
    </row>
    <row r="276" ht="31.5" customHeight="1">
      <c r="A276" s="17">
        <v>274.0</v>
      </c>
      <c r="B276" s="10" t="s">
        <v>849</v>
      </c>
      <c r="C276" s="11" t="s">
        <v>850</v>
      </c>
      <c r="D276" s="12" t="s">
        <v>851</v>
      </c>
      <c r="E276" s="12"/>
      <c r="F276" s="12">
        <v>2021.0</v>
      </c>
      <c r="G276" s="14" t="s">
        <v>21</v>
      </c>
      <c r="H276" s="9"/>
      <c r="I276" s="11" t="s">
        <v>22</v>
      </c>
      <c r="J276" s="9">
        <v>308.0</v>
      </c>
      <c r="K276" s="9" t="s">
        <v>23</v>
      </c>
      <c r="L276" s="9" t="s">
        <v>24</v>
      </c>
      <c r="M276" s="11" t="s">
        <v>25</v>
      </c>
      <c r="N276" s="11" t="s">
        <v>26</v>
      </c>
      <c r="O276" s="9" t="s">
        <v>27</v>
      </c>
      <c r="P276" s="15">
        <f t="shared" si="5"/>
        <v>51200</v>
      </c>
      <c r="Q276" s="16">
        <f t="shared" si="2"/>
        <v>102400</v>
      </c>
      <c r="R276" s="6"/>
      <c r="S276" s="6"/>
      <c r="T276" s="6"/>
      <c r="U276" s="6"/>
      <c r="V276" s="6"/>
      <c r="W276" s="6"/>
      <c r="X276" s="6"/>
      <c r="Y276" s="6"/>
    </row>
    <row r="277" ht="31.5" customHeight="1">
      <c r="A277" s="17">
        <v>275.0</v>
      </c>
      <c r="B277" s="10" t="s">
        <v>852</v>
      </c>
      <c r="C277" s="11" t="s">
        <v>853</v>
      </c>
      <c r="D277" s="12" t="s">
        <v>854</v>
      </c>
      <c r="E277" s="12"/>
      <c r="F277" s="12">
        <v>2021.0</v>
      </c>
      <c r="G277" s="14" t="s">
        <v>21</v>
      </c>
      <c r="H277" s="9"/>
      <c r="I277" s="11" t="s">
        <v>22</v>
      </c>
      <c r="J277" s="9">
        <v>272.0</v>
      </c>
      <c r="K277" s="9" t="s">
        <v>23</v>
      </c>
      <c r="L277" s="9" t="s">
        <v>24</v>
      </c>
      <c r="M277" s="11" t="s">
        <v>25</v>
      </c>
      <c r="N277" s="11" t="s">
        <v>26</v>
      </c>
      <c r="O277" s="9" t="s">
        <v>27</v>
      </c>
      <c r="P277" s="15">
        <f t="shared" si="5"/>
        <v>45800</v>
      </c>
      <c r="Q277" s="16">
        <f t="shared" si="2"/>
        <v>91600</v>
      </c>
      <c r="R277" s="6"/>
      <c r="S277" s="6"/>
      <c r="T277" s="6"/>
      <c r="U277" s="6"/>
      <c r="V277" s="6"/>
      <c r="W277" s="6"/>
      <c r="X277" s="6"/>
      <c r="Y277" s="6"/>
    </row>
    <row r="278" ht="31.5" customHeight="1">
      <c r="A278" s="17">
        <v>276.0</v>
      </c>
      <c r="B278" s="10" t="s">
        <v>855</v>
      </c>
      <c r="C278" s="11" t="s">
        <v>856</v>
      </c>
      <c r="D278" s="12" t="s">
        <v>857</v>
      </c>
      <c r="E278" s="12"/>
      <c r="F278" s="12">
        <v>2021.0</v>
      </c>
      <c r="G278" s="14" t="s">
        <v>21</v>
      </c>
      <c r="H278" s="9" t="s">
        <v>382</v>
      </c>
      <c r="I278" s="11" t="s">
        <v>22</v>
      </c>
      <c r="J278" s="9">
        <v>118.0</v>
      </c>
      <c r="K278" s="9" t="s">
        <v>23</v>
      </c>
      <c r="L278" s="9" t="s">
        <v>24</v>
      </c>
      <c r="M278" s="11" t="s">
        <v>25</v>
      </c>
      <c r="N278" s="11" t="s">
        <v>26</v>
      </c>
      <c r="O278" s="9" t="s">
        <v>27</v>
      </c>
      <c r="P278" s="15">
        <f t="shared" si="5"/>
        <v>22700</v>
      </c>
      <c r="Q278" s="16">
        <f t="shared" si="2"/>
        <v>45400</v>
      </c>
      <c r="R278" s="6"/>
      <c r="S278" s="6"/>
      <c r="T278" s="6"/>
      <c r="U278" s="6"/>
      <c r="V278" s="6"/>
      <c r="W278" s="6"/>
      <c r="X278" s="6"/>
      <c r="Y278" s="6"/>
    </row>
    <row r="279" ht="31.5" customHeight="1">
      <c r="A279" s="17">
        <v>277.0</v>
      </c>
      <c r="B279" s="10" t="s">
        <v>858</v>
      </c>
      <c r="C279" s="11" t="s">
        <v>859</v>
      </c>
      <c r="D279" s="12" t="s">
        <v>860</v>
      </c>
      <c r="E279" s="13" t="s">
        <v>321</v>
      </c>
      <c r="F279" s="12">
        <v>2021.0</v>
      </c>
      <c r="G279" s="14" t="s">
        <v>21</v>
      </c>
      <c r="H279" s="9"/>
      <c r="I279" s="11" t="s">
        <v>22</v>
      </c>
      <c r="J279" s="9">
        <v>255.0</v>
      </c>
      <c r="K279" s="9" t="s">
        <v>23</v>
      </c>
      <c r="L279" s="9" t="s">
        <v>24</v>
      </c>
      <c r="M279" s="11" t="s">
        <v>25</v>
      </c>
      <c r="N279" s="11" t="s">
        <v>26</v>
      </c>
      <c r="O279" s="9" t="s">
        <v>27</v>
      </c>
      <c r="P279" s="15">
        <f t="shared" si="5"/>
        <v>43250</v>
      </c>
      <c r="Q279" s="16">
        <f t="shared" si="2"/>
        <v>86500</v>
      </c>
      <c r="R279" s="6"/>
      <c r="S279" s="6"/>
      <c r="T279" s="6"/>
      <c r="U279" s="6"/>
      <c r="V279" s="6"/>
      <c r="W279" s="6"/>
      <c r="X279" s="6"/>
      <c r="Y279" s="6"/>
    </row>
    <row r="280" ht="31.5" customHeight="1">
      <c r="A280" s="17">
        <v>278.0</v>
      </c>
      <c r="B280" s="10" t="s">
        <v>861</v>
      </c>
      <c r="C280" s="11" t="s">
        <v>862</v>
      </c>
      <c r="D280" s="12" t="s">
        <v>863</v>
      </c>
      <c r="E280" s="12"/>
      <c r="F280" s="12">
        <v>2021.0</v>
      </c>
      <c r="G280" s="14" t="s">
        <v>21</v>
      </c>
      <c r="H280" s="9"/>
      <c r="I280" s="11" t="s">
        <v>204</v>
      </c>
      <c r="J280" s="17"/>
      <c r="K280" s="9" t="s">
        <v>23</v>
      </c>
      <c r="L280" s="9" t="s">
        <v>24</v>
      </c>
      <c r="M280" s="11" t="s">
        <v>25</v>
      </c>
      <c r="N280" s="11" t="s">
        <v>26</v>
      </c>
      <c r="O280" s="9" t="s">
        <v>27</v>
      </c>
      <c r="P280" s="15">
        <f t="shared" si="5"/>
        <v>0</v>
      </c>
      <c r="Q280" s="16">
        <f t="shared" si="2"/>
        <v>0</v>
      </c>
      <c r="R280" s="6"/>
      <c r="S280" s="6"/>
      <c r="T280" s="6"/>
      <c r="U280" s="6"/>
      <c r="V280" s="6"/>
      <c r="W280" s="6"/>
      <c r="X280" s="6"/>
      <c r="Y280" s="6"/>
    </row>
    <row r="281" ht="31.5" customHeight="1">
      <c r="A281" s="17">
        <v>279.0</v>
      </c>
      <c r="B281" s="10" t="s">
        <v>864</v>
      </c>
      <c r="C281" s="11" t="s">
        <v>865</v>
      </c>
      <c r="D281" s="12" t="s">
        <v>866</v>
      </c>
      <c r="E281" s="12"/>
      <c r="F281" s="12">
        <v>2021.0</v>
      </c>
      <c r="G281" s="14" t="s">
        <v>21</v>
      </c>
      <c r="H281" s="9"/>
      <c r="I281" s="11" t="s">
        <v>867</v>
      </c>
      <c r="J281" s="9">
        <v>174.0</v>
      </c>
      <c r="K281" s="9" t="s">
        <v>23</v>
      </c>
      <c r="L281" s="9" t="s">
        <v>24</v>
      </c>
      <c r="M281" s="11" t="s">
        <v>25</v>
      </c>
      <c r="N281" s="11" t="s">
        <v>26</v>
      </c>
      <c r="O281" s="9" t="s">
        <v>27</v>
      </c>
      <c r="P281" s="15">
        <f t="shared" si="5"/>
        <v>0</v>
      </c>
      <c r="Q281" s="16">
        <f t="shared" si="2"/>
        <v>0</v>
      </c>
      <c r="R281" s="6"/>
      <c r="S281" s="6"/>
      <c r="T281" s="6"/>
      <c r="U281" s="6"/>
      <c r="V281" s="6"/>
      <c r="W281" s="6"/>
      <c r="X281" s="6"/>
      <c r="Y281" s="6"/>
    </row>
    <row r="282" ht="31.5" customHeight="1">
      <c r="A282" s="17">
        <v>280.0</v>
      </c>
      <c r="B282" s="10" t="s">
        <v>868</v>
      </c>
      <c r="C282" s="11" t="s">
        <v>869</v>
      </c>
      <c r="D282" s="12" t="s">
        <v>870</v>
      </c>
      <c r="E282" s="12"/>
      <c r="F282" s="12">
        <v>2021.0</v>
      </c>
      <c r="G282" s="14" t="s">
        <v>21</v>
      </c>
      <c r="H282" s="9"/>
      <c r="I282" s="11" t="s">
        <v>22</v>
      </c>
      <c r="J282" s="9">
        <v>254.0</v>
      </c>
      <c r="K282" s="9" t="s">
        <v>23</v>
      </c>
      <c r="L282" s="9" t="s">
        <v>24</v>
      </c>
      <c r="M282" s="11" t="s">
        <v>25</v>
      </c>
      <c r="N282" s="11" t="s">
        <v>26</v>
      </c>
      <c r="O282" s="9" t="s">
        <v>27</v>
      </c>
      <c r="P282" s="15">
        <f t="shared" si="5"/>
        <v>43100</v>
      </c>
      <c r="Q282" s="16">
        <f t="shared" si="2"/>
        <v>86200</v>
      </c>
      <c r="R282" s="6"/>
      <c r="S282" s="6"/>
      <c r="T282" s="6"/>
      <c r="U282" s="6"/>
      <c r="V282" s="6"/>
      <c r="W282" s="6"/>
      <c r="X282" s="6"/>
      <c r="Y282" s="6"/>
    </row>
    <row r="283" ht="31.5" customHeight="1">
      <c r="A283" s="17">
        <v>281.0</v>
      </c>
      <c r="B283" s="10" t="s">
        <v>871</v>
      </c>
      <c r="C283" s="11" t="s">
        <v>872</v>
      </c>
      <c r="D283" s="12" t="s">
        <v>873</v>
      </c>
      <c r="E283" s="12"/>
      <c r="F283" s="12">
        <v>2021.0</v>
      </c>
      <c r="G283" s="14" t="s">
        <v>21</v>
      </c>
      <c r="H283" s="9"/>
      <c r="I283" s="11" t="s">
        <v>204</v>
      </c>
      <c r="J283" s="17"/>
      <c r="K283" s="9" t="s">
        <v>23</v>
      </c>
      <c r="L283" s="9" t="s">
        <v>24</v>
      </c>
      <c r="M283" s="11" t="s">
        <v>25</v>
      </c>
      <c r="N283" s="11" t="s">
        <v>26</v>
      </c>
      <c r="O283" s="9" t="s">
        <v>27</v>
      </c>
      <c r="P283" s="15">
        <f t="shared" si="5"/>
        <v>0</v>
      </c>
      <c r="Q283" s="16">
        <f t="shared" si="2"/>
        <v>0</v>
      </c>
      <c r="R283" s="6"/>
      <c r="S283" s="6"/>
      <c r="T283" s="6"/>
      <c r="U283" s="6"/>
      <c r="V283" s="6"/>
      <c r="W283" s="6"/>
      <c r="X283" s="6"/>
      <c r="Y283" s="6"/>
    </row>
    <row r="284" ht="31.5" customHeight="1">
      <c r="A284" s="17">
        <v>282.0</v>
      </c>
      <c r="B284" s="10" t="s">
        <v>874</v>
      </c>
      <c r="C284" s="11" t="s">
        <v>875</v>
      </c>
      <c r="D284" s="12" t="s">
        <v>876</v>
      </c>
      <c r="E284" s="12"/>
      <c r="F284" s="12">
        <v>2021.0</v>
      </c>
      <c r="G284" s="14" t="s">
        <v>21</v>
      </c>
      <c r="H284" s="9"/>
      <c r="I284" s="11" t="s">
        <v>204</v>
      </c>
      <c r="J284" s="17"/>
      <c r="K284" s="9" t="s">
        <v>23</v>
      </c>
      <c r="L284" s="9" t="s">
        <v>24</v>
      </c>
      <c r="M284" s="11" t="s">
        <v>25</v>
      </c>
      <c r="N284" s="11" t="s">
        <v>26</v>
      </c>
      <c r="O284" s="9" t="s">
        <v>27</v>
      </c>
      <c r="P284" s="15">
        <f t="shared" si="5"/>
        <v>0</v>
      </c>
      <c r="Q284" s="16">
        <f t="shared" si="2"/>
        <v>0</v>
      </c>
      <c r="R284" s="6"/>
      <c r="S284" s="6"/>
      <c r="T284" s="6"/>
      <c r="U284" s="6"/>
      <c r="V284" s="6"/>
      <c r="W284" s="6"/>
      <c r="X284" s="6"/>
      <c r="Y284" s="6"/>
    </row>
    <row r="285" ht="31.5" customHeight="1">
      <c r="A285" s="17">
        <v>283.0</v>
      </c>
      <c r="B285" s="10" t="s">
        <v>877</v>
      </c>
      <c r="C285" s="11" t="s">
        <v>798</v>
      </c>
      <c r="D285" s="12" t="s">
        <v>878</v>
      </c>
      <c r="E285" s="12"/>
      <c r="F285" s="12">
        <v>2021.0</v>
      </c>
      <c r="G285" s="14" t="s">
        <v>21</v>
      </c>
      <c r="H285" s="9"/>
      <c r="I285" s="11" t="s">
        <v>204</v>
      </c>
      <c r="J285" s="17"/>
      <c r="K285" s="9" t="s">
        <v>23</v>
      </c>
      <c r="L285" s="9" t="s">
        <v>24</v>
      </c>
      <c r="M285" s="11" t="s">
        <v>25</v>
      </c>
      <c r="N285" s="11" t="s">
        <v>26</v>
      </c>
      <c r="O285" s="9" t="s">
        <v>27</v>
      </c>
      <c r="P285" s="15">
        <f t="shared" si="5"/>
        <v>0</v>
      </c>
      <c r="Q285" s="16">
        <f t="shared" si="2"/>
        <v>0</v>
      </c>
      <c r="R285" s="6"/>
      <c r="S285" s="6"/>
      <c r="T285" s="6"/>
      <c r="U285" s="6"/>
      <c r="V285" s="6"/>
      <c r="W285" s="6"/>
      <c r="X285" s="6"/>
      <c r="Y285" s="6"/>
    </row>
    <row r="286" ht="31.5" customHeight="1">
      <c r="A286" s="17">
        <v>284.0</v>
      </c>
      <c r="B286" s="10" t="s">
        <v>879</v>
      </c>
      <c r="C286" s="11" t="s">
        <v>880</v>
      </c>
      <c r="D286" s="12" t="s">
        <v>881</v>
      </c>
      <c r="E286" s="12"/>
      <c r="F286" s="12">
        <v>2021.0</v>
      </c>
      <c r="G286" s="14" t="s">
        <v>21</v>
      </c>
      <c r="H286" s="9"/>
      <c r="I286" s="11" t="s">
        <v>204</v>
      </c>
      <c r="J286" s="17"/>
      <c r="K286" s="9" t="s">
        <v>23</v>
      </c>
      <c r="L286" s="9" t="s">
        <v>24</v>
      </c>
      <c r="M286" s="11" t="s">
        <v>25</v>
      </c>
      <c r="N286" s="11" t="s">
        <v>26</v>
      </c>
      <c r="O286" s="9" t="s">
        <v>27</v>
      </c>
      <c r="P286" s="15">
        <f t="shared" si="5"/>
        <v>0</v>
      </c>
      <c r="Q286" s="16">
        <f t="shared" si="2"/>
        <v>0</v>
      </c>
      <c r="R286" s="6"/>
      <c r="S286" s="6"/>
      <c r="T286" s="6"/>
      <c r="U286" s="6"/>
      <c r="V286" s="6"/>
      <c r="W286" s="6"/>
      <c r="X286" s="6"/>
      <c r="Y286" s="6"/>
    </row>
    <row r="287" ht="31.5" customHeight="1">
      <c r="A287" s="17">
        <v>285.0</v>
      </c>
      <c r="B287" s="10" t="s">
        <v>882</v>
      </c>
      <c r="C287" s="11" t="s">
        <v>883</v>
      </c>
      <c r="D287" s="12" t="s">
        <v>884</v>
      </c>
      <c r="E287" s="13" t="s">
        <v>885</v>
      </c>
      <c r="F287" s="12">
        <v>2021.0</v>
      </c>
      <c r="G287" s="14" t="s">
        <v>21</v>
      </c>
      <c r="H287" s="9"/>
      <c r="I287" s="11" t="s">
        <v>204</v>
      </c>
      <c r="J287" s="17"/>
      <c r="K287" s="9" t="s">
        <v>23</v>
      </c>
      <c r="L287" s="9" t="s">
        <v>24</v>
      </c>
      <c r="M287" s="11" t="s">
        <v>25</v>
      </c>
      <c r="N287" s="11" t="s">
        <v>26</v>
      </c>
      <c r="O287" s="9" t="s">
        <v>27</v>
      </c>
      <c r="P287" s="15">
        <f t="shared" si="5"/>
        <v>0</v>
      </c>
      <c r="Q287" s="16">
        <f t="shared" si="2"/>
        <v>0</v>
      </c>
      <c r="R287" s="6"/>
      <c r="S287" s="6"/>
      <c r="T287" s="6"/>
      <c r="U287" s="6"/>
      <c r="V287" s="6"/>
      <c r="W287" s="6"/>
      <c r="X287" s="6"/>
      <c r="Y287" s="6"/>
    </row>
    <row r="288" ht="31.5" customHeight="1">
      <c r="A288" s="17">
        <v>286.0</v>
      </c>
      <c r="B288" s="10" t="s">
        <v>886</v>
      </c>
      <c r="C288" s="11" t="s">
        <v>887</v>
      </c>
      <c r="D288" s="12" t="s">
        <v>888</v>
      </c>
      <c r="E288" s="12"/>
      <c r="F288" s="12">
        <v>2021.0</v>
      </c>
      <c r="G288" s="14" t="s">
        <v>21</v>
      </c>
      <c r="H288" s="9"/>
      <c r="I288" s="11" t="s">
        <v>204</v>
      </c>
      <c r="J288" s="17"/>
      <c r="K288" s="9" t="s">
        <v>23</v>
      </c>
      <c r="L288" s="9" t="s">
        <v>24</v>
      </c>
      <c r="M288" s="11" t="s">
        <v>25</v>
      </c>
      <c r="N288" s="11" t="s">
        <v>26</v>
      </c>
      <c r="O288" s="9" t="s">
        <v>27</v>
      </c>
      <c r="P288" s="15">
        <f t="shared" si="5"/>
        <v>0</v>
      </c>
      <c r="Q288" s="16">
        <f t="shared" si="2"/>
        <v>0</v>
      </c>
      <c r="R288" s="6"/>
      <c r="S288" s="6"/>
      <c r="T288" s="6"/>
      <c r="U288" s="6"/>
      <c r="V288" s="6"/>
      <c r="W288" s="6"/>
      <c r="X288" s="6"/>
      <c r="Y288" s="6"/>
    </row>
    <row r="289" ht="31.5" customHeight="1">
      <c r="A289" s="17">
        <v>287.0</v>
      </c>
      <c r="B289" s="10" t="s">
        <v>889</v>
      </c>
      <c r="C289" s="11" t="s">
        <v>127</v>
      </c>
      <c r="D289" s="12" t="s">
        <v>890</v>
      </c>
      <c r="E289" s="13" t="s">
        <v>129</v>
      </c>
      <c r="F289" s="12">
        <v>2021.0</v>
      </c>
      <c r="G289" s="14" t="s">
        <v>21</v>
      </c>
      <c r="H289" s="9"/>
      <c r="I289" s="11" t="s">
        <v>130</v>
      </c>
      <c r="J289" s="9">
        <v>146.0</v>
      </c>
      <c r="K289" s="9" t="s">
        <v>23</v>
      </c>
      <c r="L289" s="9" t="s">
        <v>24</v>
      </c>
      <c r="M289" s="11" t="s">
        <v>25</v>
      </c>
      <c r="N289" s="11" t="s">
        <v>26</v>
      </c>
      <c r="O289" s="9" t="s">
        <v>27</v>
      </c>
      <c r="P289" s="15">
        <f t="shared" si="5"/>
        <v>0</v>
      </c>
      <c r="Q289" s="16">
        <f t="shared" si="2"/>
        <v>0</v>
      </c>
      <c r="R289" s="6"/>
      <c r="S289" s="6"/>
      <c r="T289" s="6"/>
      <c r="U289" s="6"/>
      <c r="V289" s="6"/>
      <c r="W289" s="6"/>
      <c r="X289" s="6"/>
      <c r="Y289" s="6"/>
    </row>
    <row r="290" ht="31.5" customHeight="1">
      <c r="A290" s="17">
        <v>288.0</v>
      </c>
      <c r="B290" s="10" t="s">
        <v>891</v>
      </c>
      <c r="C290" s="11" t="s">
        <v>892</v>
      </c>
      <c r="D290" s="12" t="s">
        <v>893</v>
      </c>
      <c r="E290" s="12"/>
      <c r="F290" s="12">
        <v>2021.0</v>
      </c>
      <c r="G290" s="14" t="s">
        <v>21</v>
      </c>
      <c r="H290" s="9"/>
      <c r="I290" s="11" t="s">
        <v>204</v>
      </c>
      <c r="J290" s="17"/>
      <c r="K290" s="9" t="s">
        <v>23</v>
      </c>
      <c r="L290" s="9" t="s">
        <v>24</v>
      </c>
      <c r="M290" s="11" t="s">
        <v>25</v>
      </c>
      <c r="N290" s="11" t="s">
        <v>26</v>
      </c>
      <c r="O290" s="9" t="s">
        <v>27</v>
      </c>
      <c r="P290" s="15">
        <f t="shared" si="5"/>
        <v>0</v>
      </c>
      <c r="Q290" s="16">
        <f t="shared" si="2"/>
        <v>0</v>
      </c>
      <c r="R290" s="6"/>
      <c r="S290" s="6"/>
      <c r="T290" s="6"/>
      <c r="U290" s="6"/>
      <c r="V290" s="6"/>
      <c r="W290" s="6"/>
      <c r="X290" s="6"/>
      <c r="Y290" s="6"/>
    </row>
    <row r="291" ht="31.5" customHeight="1">
      <c r="A291" s="17">
        <v>289.0</v>
      </c>
      <c r="B291" s="10" t="s">
        <v>894</v>
      </c>
      <c r="C291" s="11" t="s">
        <v>895</v>
      </c>
      <c r="D291" s="12" t="s">
        <v>896</v>
      </c>
      <c r="E291" s="12"/>
      <c r="F291" s="12">
        <v>2021.0</v>
      </c>
      <c r="G291" s="14" t="s">
        <v>21</v>
      </c>
      <c r="H291" s="9"/>
      <c r="I291" s="11" t="s">
        <v>204</v>
      </c>
      <c r="J291" s="17"/>
      <c r="K291" s="9" t="s">
        <v>23</v>
      </c>
      <c r="L291" s="9" t="s">
        <v>24</v>
      </c>
      <c r="M291" s="11" t="s">
        <v>25</v>
      </c>
      <c r="N291" s="11" t="s">
        <v>26</v>
      </c>
      <c r="O291" s="9" t="s">
        <v>27</v>
      </c>
      <c r="P291" s="15">
        <f t="shared" si="5"/>
        <v>0</v>
      </c>
      <c r="Q291" s="16">
        <f t="shared" si="2"/>
        <v>0</v>
      </c>
      <c r="R291" s="6"/>
      <c r="S291" s="6"/>
      <c r="T291" s="6"/>
      <c r="U291" s="6"/>
      <c r="V291" s="6"/>
      <c r="W291" s="6"/>
      <c r="X291" s="6"/>
      <c r="Y291" s="6"/>
    </row>
    <row r="292" ht="31.5" customHeight="1">
      <c r="A292" s="17">
        <v>290.0</v>
      </c>
      <c r="B292" s="10" t="s">
        <v>897</v>
      </c>
      <c r="C292" s="11" t="s">
        <v>898</v>
      </c>
      <c r="D292" s="12" t="s">
        <v>899</v>
      </c>
      <c r="E292" s="12"/>
      <c r="F292" s="12">
        <v>2021.0</v>
      </c>
      <c r="G292" s="14" t="s">
        <v>21</v>
      </c>
      <c r="H292" s="9"/>
      <c r="I292" s="11" t="s">
        <v>204</v>
      </c>
      <c r="J292" s="17"/>
      <c r="K292" s="9" t="s">
        <v>23</v>
      </c>
      <c r="L292" s="9" t="s">
        <v>24</v>
      </c>
      <c r="M292" s="11" t="s">
        <v>25</v>
      </c>
      <c r="N292" s="11" t="s">
        <v>26</v>
      </c>
      <c r="O292" s="9" t="s">
        <v>27</v>
      </c>
      <c r="P292" s="15">
        <f t="shared" si="5"/>
        <v>0</v>
      </c>
      <c r="Q292" s="16">
        <f t="shared" si="2"/>
        <v>0</v>
      </c>
      <c r="R292" s="6"/>
      <c r="S292" s="6"/>
      <c r="T292" s="6"/>
      <c r="U292" s="6"/>
      <c r="V292" s="6"/>
      <c r="W292" s="6"/>
      <c r="X292" s="6"/>
      <c r="Y292" s="6"/>
    </row>
    <row r="293" ht="31.5" customHeight="1">
      <c r="A293" s="17">
        <v>291.0</v>
      </c>
      <c r="B293" s="10" t="s">
        <v>900</v>
      </c>
      <c r="C293" s="11" t="s">
        <v>818</v>
      </c>
      <c r="D293" s="12" t="s">
        <v>901</v>
      </c>
      <c r="E293" s="12"/>
      <c r="F293" s="12">
        <v>2021.0</v>
      </c>
      <c r="G293" s="14" t="s">
        <v>21</v>
      </c>
      <c r="H293" s="9"/>
      <c r="I293" s="11" t="s">
        <v>204</v>
      </c>
      <c r="J293" s="17"/>
      <c r="K293" s="9" t="s">
        <v>23</v>
      </c>
      <c r="L293" s="9" t="s">
        <v>24</v>
      </c>
      <c r="M293" s="11" t="s">
        <v>25</v>
      </c>
      <c r="N293" s="11" t="s">
        <v>26</v>
      </c>
      <c r="O293" s="9" t="s">
        <v>27</v>
      </c>
      <c r="P293" s="15">
        <f t="shared" si="5"/>
        <v>0</v>
      </c>
      <c r="Q293" s="16">
        <f t="shared" si="2"/>
        <v>0</v>
      </c>
      <c r="R293" s="6"/>
      <c r="S293" s="6"/>
      <c r="T293" s="6"/>
      <c r="U293" s="6"/>
      <c r="V293" s="6"/>
      <c r="W293" s="6"/>
      <c r="X293" s="6"/>
      <c r="Y293" s="6"/>
    </row>
    <row r="294" ht="31.5" customHeight="1">
      <c r="A294" s="17">
        <v>292.0</v>
      </c>
      <c r="B294" s="10" t="s">
        <v>902</v>
      </c>
      <c r="C294" s="11" t="s">
        <v>903</v>
      </c>
      <c r="D294" s="12" t="s">
        <v>904</v>
      </c>
      <c r="E294" s="12"/>
      <c r="F294" s="12">
        <v>2021.0</v>
      </c>
      <c r="G294" s="14" t="s">
        <v>21</v>
      </c>
      <c r="H294" s="9"/>
      <c r="I294" s="11" t="s">
        <v>204</v>
      </c>
      <c r="J294" s="17"/>
      <c r="K294" s="9" t="s">
        <v>23</v>
      </c>
      <c r="L294" s="9" t="s">
        <v>24</v>
      </c>
      <c r="M294" s="11" t="s">
        <v>25</v>
      </c>
      <c r="N294" s="11" t="s">
        <v>26</v>
      </c>
      <c r="O294" s="9" t="s">
        <v>27</v>
      </c>
      <c r="P294" s="15">
        <f t="shared" si="5"/>
        <v>0</v>
      </c>
      <c r="Q294" s="16">
        <f t="shared" si="2"/>
        <v>0</v>
      </c>
      <c r="R294" s="6"/>
      <c r="S294" s="6"/>
      <c r="T294" s="6"/>
      <c r="U294" s="6"/>
      <c r="V294" s="6"/>
      <c r="W294" s="6"/>
      <c r="X294" s="6"/>
      <c r="Y294" s="6"/>
    </row>
    <row r="295" ht="31.5" customHeight="1">
      <c r="A295" s="17">
        <v>293.0</v>
      </c>
      <c r="B295" s="10" t="s">
        <v>905</v>
      </c>
      <c r="C295" s="11" t="s">
        <v>906</v>
      </c>
      <c r="D295" s="12" t="s">
        <v>907</v>
      </c>
      <c r="E295" s="12"/>
      <c r="F295" s="12">
        <v>2021.0</v>
      </c>
      <c r="G295" s="14" t="s">
        <v>21</v>
      </c>
      <c r="H295" s="9"/>
      <c r="I295" s="11" t="s">
        <v>204</v>
      </c>
      <c r="J295" s="17"/>
      <c r="K295" s="9" t="s">
        <v>23</v>
      </c>
      <c r="L295" s="9" t="s">
        <v>24</v>
      </c>
      <c r="M295" s="11" t="s">
        <v>25</v>
      </c>
      <c r="N295" s="11" t="s">
        <v>26</v>
      </c>
      <c r="O295" s="9" t="s">
        <v>27</v>
      </c>
      <c r="P295" s="15">
        <f t="shared" si="5"/>
        <v>0</v>
      </c>
      <c r="Q295" s="16">
        <f t="shared" si="2"/>
        <v>0</v>
      </c>
      <c r="R295" s="6"/>
      <c r="S295" s="6"/>
      <c r="T295" s="6"/>
      <c r="U295" s="6"/>
      <c r="V295" s="6"/>
      <c r="W295" s="6"/>
      <c r="X295" s="6"/>
      <c r="Y295" s="6"/>
    </row>
    <row r="296" ht="31.5" customHeight="1">
      <c r="A296" s="17">
        <v>294.0</v>
      </c>
      <c r="B296" s="10" t="s">
        <v>908</v>
      </c>
      <c r="C296" s="11" t="s">
        <v>909</v>
      </c>
      <c r="D296" s="12" t="s">
        <v>910</v>
      </c>
      <c r="E296" s="12"/>
      <c r="F296" s="12">
        <v>2021.0</v>
      </c>
      <c r="G296" s="14" t="s">
        <v>21</v>
      </c>
      <c r="H296" s="9"/>
      <c r="I296" s="11" t="s">
        <v>204</v>
      </c>
      <c r="J296" s="17"/>
      <c r="K296" s="9" t="s">
        <v>23</v>
      </c>
      <c r="L296" s="9" t="s">
        <v>24</v>
      </c>
      <c r="M296" s="11" t="s">
        <v>25</v>
      </c>
      <c r="N296" s="11" t="s">
        <v>26</v>
      </c>
      <c r="O296" s="9" t="s">
        <v>27</v>
      </c>
      <c r="P296" s="15">
        <f t="shared" si="5"/>
        <v>0</v>
      </c>
      <c r="Q296" s="16">
        <f t="shared" si="2"/>
        <v>0</v>
      </c>
      <c r="R296" s="6"/>
      <c r="S296" s="6"/>
      <c r="T296" s="6"/>
      <c r="U296" s="6"/>
      <c r="V296" s="6"/>
      <c r="W296" s="6"/>
      <c r="X296" s="6"/>
      <c r="Y296" s="6"/>
    </row>
    <row r="297" ht="31.5" customHeight="1">
      <c r="A297" s="17">
        <v>295.0</v>
      </c>
      <c r="B297" s="10" t="s">
        <v>911</v>
      </c>
      <c r="C297" s="11" t="s">
        <v>912</v>
      </c>
      <c r="D297" s="12" t="s">
        <v>913</v>
      </c>
      <c r="E297" s="12"/>
      <c r="F297" s="12">
        <v>2021.0</v>
      </c>
      <c r="G297" s="14" t="s">
        <v>21</v>
      </c>
      <c r="H297" s="9"/>
      <c r="I297" s="11" t="s">
        <v>204</v>
      </c>
      <c r="J297" s="17"/>
      <c r="K297" s="9" t="s">
        <v>23</v>
      </c>
      <c r="L297" s="9" t="s">
        <v>24</v>
      </c>
      <c r="M297" s="11" t="s">
        <v>25</v>
      </c>
      <c r="N297" s="11" t="s">
        <v>26</v>
      </c>
      <c r="O297" s="9" t="s">
        <v>27</v>
      </c>
      <c r="P297" s="15">
        <f t="shared" si="5"/>
        <v>0</v>
      </c>
      <c r="Q297" s="16">
        <f t="shared" si="2"/>
        <v>0</v>
      </c>
      <c r="R297" s="6"/>
      <c r="S297" s="6"/>
      <c r="T297" s="6"/>
      <c r="U297" s="6"/>
      <c r="V297" s="6"/>
      <c r="W297" s="6"/>
      <c r="X297" s="6"/>
      <c r="Y297" s="6"/>
    </row>
    <row r="298" ht="31.5" customHeight="1">
      <c r="A298" s="17">
        <v>296.0</v>
      </c>
      <c r="B298" s="10" t="s">
        <v>914</v>
      </c>
      <c r="C298" s="11" t="s">
        <v>915</v>
      </c>
      <c r="D298" s="12" t="s">
        <v>916</v>
      </c>
      <c r="E298" s="12"/>
      <c r="F298" s="12">
        <v>2020.0</v>
      </c>
      <c r="G298" s="14" t="s">
        <v>21</v>
      </c>
      <c r="H298" s="9"/>
      <c r="I298" s="11" t="s">
        <v>204</v>
      </c>
      <c r="J298" s="17"/>
      <c r="K298" s="9" t="s">
        <v>23</v>
      </c>
      <c r="L298" s="9" t="s">
        <v>24</v>
      </c>
      <c r="M298" s="11" t="s">
        <v>25</v>
      </c>
      <c r="N298" s="11" t="s">
        <v>26</v>
      </c>
      <c r="O298" s="9" t="s">
        <v>27</v>
      </c>
      <c r="P298" s="15">
        <f t="shared" si="5"/>
        <v>0</v>
      </c>
      <c r="Q298" s="16">
        <f t="shared" si="2"/>
        <v>0</v>
      </c>
      <c r="R298" s="6"/>
      <c r="S298" s="6"/>
      <c r="T298" s="6"/>
      <c r="U298" s="6"/>
      <c r="V298" s="6"/>
      <c r="W298" s="6"/>
      <c r="X298" s="6"/>
      <c r="Y298" s="6"/>
    </row>
    <row r="299" ht="31.5" customHeight="1">
      <c r="A299" s="17">
        <v>297.0</v>
      </c>
      <c r="B299" s="10" t="s">
        <v>917</v>
      </c>
      <c r="C299" s="11" t="s">
        <v>918</v>
      </c>
      <c r="D299" s="12" t="s">
        <v>919</v>
      </c>
      <c r="E299" s="13" t="s">
        <v>920</v>
      </c>
      <c r="F299" s="12">
        <v>2020.0</v>
      </c>
      <c r="G299" s="14" t="s">
        <v>21</v>
      </c>
      <c r="H299" s="9"/>
      <c r="I299" s="11" t="s">
        <v>204</v>
      </c>
      <c r="J299" s="17"/>
      <c r="K299" s="9" t="s">
        <v>23</v>
      </c>
      <c r="L299" s="9" t="s">
        <v>24</v>
      </c>
      <c r="M299" s="11" t="s">
        <v>25</v>
      </c>
      <c r="N299" s="11" t="s">
        <v>26</v>
      </c>
      <c r="O299" s="9" t="s">
        <v>27</v>
      </c>
      <c r="P299" s="15">
        <f t="shared" si="5"/>
        <v>0</v>
      </c>
      <c r="Q299" s="16">
        <f t="shared" si="2"/>
        <v>0</v>
      </c>
      <c r="R299" s="6"/>
      <c r="S299" s="6"/>
      <c r="T299" s="6"/>
      <c r="U299" s="6"/>
      <c r="V299" s="6"/>
      <c r="W299" s="6"/>
      <c r="X299" s="6"/>
      <c r="Y299" s="6"/>
    </row>
    <row r="300" ht="31.5" customHeight="1">
      <c r="A300" s="17">
        <v>298.0</v>
      </c>
      <c r="B300" s="10" t="s">
        <v>921</v>
      </c>
      <c r="C300" s="11" t="s">
        <v>922</v>
      </c>
      <c r="D300" s="12" t="s">
        <v>923</v>
      </c>
      <c r="E300" s="12"/>
      <c r="F300" s="12">
        <v>2020.0</v>
      </c>
      <c r="G300" s="14" t="s">
        <v>21</v>
      </c>
      <c r="H300" s="9"/>
      <c r="I300" s="11" t="s">
        <v>204</v>
      </c>
      <c r="J300" s="17"/>
      <c r="K300" s="9" t="s">
        <v>23</v>
      </c>
      <c r="L300" s="9" t="s">
        <v>24</v>
      </c>
      <c r="M300" s="11" t="s">
        <v>25</v>
      </c>
      <c r="N300" s="11" t="s">
        <v>26</v>
      </c>
      <c r="O300" s="9" t="s">
        <v>27</v>
      </c>
      <c r="P300" s="15">
        <f t="shared" si="5"/>
        <v>0</v>
      </c>
      <c r="Q300" s="16">
        <f t="shared" si="2"/>
        <v>0</v>
      </c>
      <c r="R300" s="6"/>
      <c r="S300" s="6"/>
      <c r="T300" s="6"/>
      <c r="U300" s="6"/>
      <c r="V300" s="6"/>
      <c r="W300" s="6"/>
      <c r="X300" s="6"/>
      <c r="Y300" s="6"/>
    </row>
    <row r="301" ht="31.5" customHeight="1">
      <c r="A301" s="17">
        <v>299.0</v>
      </c>
      <c r="B301" s="10" t="s">
        <v>924</v>
      </c>
      <c r="C301" s="11" t="s">
        <v>925</v>
      </c>
      <c r="D301" s="12" t="s">
        <v>926</v>
      </c>
      <c r="E301" s="13" t="s">
        <v>920</v>
      </c>
      <c r="F301" s="12">
        <v>2020.0</v>
      </c>
      <c r="G301" s="14" t="s">
        <v>21</v>
      </c>
      <c r="H301" s="9"/>
      <c r="I301" s="11" t="s">
        <v>204</v>
      </c>
      <c r="J301" s="17"/>
      <c r="K301" s="9" t="s">
        <v>23</v>
      </c>
      <c r="L301" s="9" t="s">
        <v>24</v>
      </c>
      <c r="M301" s="11" t="s">
        <v>25</v>
      </c>
      <c r="N301" s="11" t="s">
        <v>26</v>
      </c>
      <c r="O301" s="9" t="s">
        <v>27</v>
      </c>
      <c r="P301" s="15">
        <f t="shared" si="5"/>
        <v>0</v>
      </c>
      <c r="Q301" s="16">
        <f t="shared" si="2"/>
        <v>0</v>
      </c>
      <c r="R301" s="6"/>
      <c r="S301" s="6"/>
      <c r="T301" s="6"/>
      <c r="U301" s="6"/>
      <c r="V301" s="6"/>
      <c r="W301" s="6"/>
      <c r="X301" s="6"/>
      <c r="Y301" s="6"/>
    </row>
    <row r="302" ht="31.5" customHeight="1">
      <c r="A302" s="17">
        <v>300.0</v>
      </c>
      <c r="B302" s="10" t="s">
        <v>927</v>
      </c>
      <c r="C302" s="11" t="s">
        <v>928</v>
      </c>
      <c r="D302" s="12" t="s">
        <v>929</v>
      </c>
      <c r="E302" s="12"/>
      <c r="F302" s="12">
        <v>2020.0</v>
      </c>
      <c r="G302" s="14" t="s">
        <v>21</v>
      </c>
      <c r="H302" s="9"/>
      <c r="I302" s="11" t="s">
        <v>204</v>
      </c>
      <c r="J302" s="17"/>
      <c r="K302" s="9" t="s">
        <v>23</v>
      </c>
      <c r="L302" s="9" t="s">
        <v>24</v>
      </c>
      <c r="M302" s="11" t="s">
        <v>25</v>
      </c>
      <c r="N302" s="11" t="s">
        <v>26</v>
      </c>
      <c r="O302" s="9" t="s">
        <v>27</v>
      </c>
      <c r="P302" s="15">
        <f t="shared" si="5"/>
        <v>0</v>
      </c>
      <c r="Q302" s="16">
        <f t="shared" si="2"/>
        <v>0</v>
      </c>
      <c r="R302" s="6"/>
      <c r="S302" s="6"/>
      <c r="T302" s="6"/>
      <c r="U302" s="6"/>
      <c r="V302" s="6"/>
      <c r="W302" s="6"/>
      <c r="X302" s="6"/>
      <c r="Y302" s="6"/>
    </row>
    <row r="303" ht="31.5" customHeight="1">
      <c r="A303" s="17">
        <v>301.0</v>
      </c>
      <c r="B303" s="10" t="s">
        <v>930</v>
      </c>
      <c r="C303" s="11" t="s">
        <v>931</v>
      </c>
      <c r="D303" s="12" t="s">
        <v>932</v>
      </c>
      <c r="E303" s="12"/>
      <c r="F303" s="12">
        <v>2020.0</v>
      </c>
      <c r="G303" s="14" t="s">
        <v>21</v>
      </c>
      <c r="H303" s="9"/>
      <c r="I303" s="11" t="s">
        <v>204</v>
      </c>
      <c r="J303" s="17"/>
      <c r="K303" s="9" t="s">
        <v>23</v>
      </c>
      <c r="L303" s="9" t="s">
        <v>24</v>
      </c>
      <c r="M303" s="11" t="s">
        <v>25</v>
      </c>
      <c r="N303" s="11" t="s">
        <v>26</v>
      </c>
      <c r="O303" s="9" t="s">
        <v>27</v>
      </c>
      <c r="P303" s="15">
        <f t="shared" si="5"/>
        <v>0</v>
      </c>
      <c r="Q303" s="16">
        <f t="shared" si="2"/>
        <v>0</v>
      </c>
      <c r="R303" s="6"/>
      <c r="S303" s="6"/>
      <c r="T303" s="6"/>
      <c r="U303" s="6"/>
      <c r="V303" s="6"/>
      <c r="W303" s="6"/>
      <c r="X303" s="6"/>
      <c r="Y303" s="6"/>
    </row>
    <row r="304" ht="31.5" customHeight="1">
      <c r="A304" s="17">
        <v>302.0</v>
      </c>
      <c r="B304" s="10" t="s">
        <v>933</v>
      </c>
      <c r="C304" s="11" t="s">
        <v>934</v>
      </c>
      <c r="D304" s="12" t="s">
        <v>935</v>
      </c>
      <c r="E304" s="12"/>
      <c r="F304" s="12">
        <v>2020.0</v>
      </c>
      <c r="G304" s="14" t="s">
        <v>21</v>
      </c>
      <c r="H304" s="9"/>
      <c r="I304" s="11" t="s">
        <v>204</v>
      </c>
      <c r="J304" s="17"/>
      <c r="K304" s="9" t="s">
        <v>23</v>
      </c>
      <c r="L304" s="9" t="s">
        <v>24</v>
      </c>
      <c r="M304" s="11" t="s">
        <v>25</v>
      </c>
      <c r="N304" s="11" t="s">
        <v>26</v>
      </c>
      <c r="O304" s="9" t="s">
        <v>27</v>
      </c>
      <c r="P304" s="15">
        <f t="shared" si="5"/>
        <v>0</v>
      </c>
      <c r="Q304" s="16">
        <f t="shared" si="2"/>
        <v>0</v>
      </c>
      <c r="R304" s="6"/>
      <c r="S304" s="6"/>
      <c r="T304" s="6"/>
      <c r="U304" s="6"/>
      <c r="V304" s="6"/>
      <c r="W304" s="6"/>
      <c r="X304" s="6"/>
      <c r="Y304" s="6"/>
    </row>
    <row r="305" ht="31.5" customHeight="1">
      <c r="A305" s="17">
        <v>303.0</v>
      </c>
      <c r="B305" s="10" t="s">
        <v>936</v>
      </c>
      <c r="C305" s="11" t="s">
        <v>937</v>
      </c>
      <c r="D305" s="12" t="s">
        <v>938</v>
      </c>
      <c r="E305" s="12"/>
      <c r="F305" s="12">
        <v>2020.0</v>
      </c>
      <c r="G305" s="14" t="s">
        <v>21</v>
      </c>
      <c r="H305" s="9"/>
      <c r="I305" s="11" t="s">
        <v>204</v>
      </c>
      <c r="J305" s="17"/>
      <c r="K305" s="9" t="s">
        <v>23</v>
      </c>
      <c r="L305" s="9" t="s">
        <v>24</v>
      </c>
      <c r="M305" s="11" t="s">
        <v>25</v>
      </c>
      <c r="N305" s="11" t="s">
        <v>26</v>
      </c>
      <c r="O305" s="9" t="s">
        <v>27</v>
      </c>
      <c r="P305" s="15">
        <f t="shared" si="5"/>
        <v>0</v>
      </c>
      <c r="Q305" s="16">
        <f t="shared" si="2"/>
        <v>0</v>
      </c>
      <c r="R305" s="6"/>
      <c r="S305" s="6"/>
      <c r="T305" s="6"/>
      <c r="U305" s="6"/>
      <c r="V305" s="6"/>
      <c r="W305" s="6"/>
      <c r="X305" s="6"/>
      <c r="Y305" s="6"/>
    </row>
    <row r="306" ht="31.5" customHeight="1">
      <c r="A306" s="17">
        <v>304.0</v>
      </c>
      <c r="B306" s="10" t="s">
        <v>939</v>
      </c>
      <c r="C306" s="11" t="s">
        <v>940</v>
      </c>
      <c r="D306" s="12" t="s">
        <v>941</v>
      </c>
      <c r="E306" s="12"/>
      <c r="F306" s="12">
        <v>2020.0</v>
      </c>
      <c r="G306" s="14" t="s">
        <v>21</v>
      </c>
      <c r="H306" s="9"/>
      <c r="I306" s="11" t="s">
        <v>204</v>
      </c>
      <c r="J306" s="17"/>
      <c r="K306" s="9" t="s">
        <v>23</v>
      </c>
      <c r="L306" s="9" t="s">
        <v>24</v>
      </c>
      <c r="M306" s="11" t="s">
        <v>25</v>
      </c>
      <c r="N306" s="11" t="s">
        <v>26</v>
      </c>
      <c r="O306" s="9" t="s">
        <v>27</v>
      </c>
      <c r="P306" s="15">
        <f t="shared" si="5"/>
        <v>0</v>
      </c>
      <c r="Q306" s="16">
        <f t="shared" si="2"/>
        <v>0</v>
      </c>
      <c r="R306" s="6"/>
      <c r="S306" s="6"/>
      <c r="T306" s="6"/>
      <c r="U306" s="6"/>
      <c r="V306" s="6"/>
      <c r="W306" s="6"/>
      <c r="X306" s="6"/>
      <c r="Y306" s="6"/>
    </row>
    <row r="307" ht="31.5" customHeight="1">
      <c r="A307" s="17">
        <v>305.0</v>
      </c>
      <c r="B307" s="10" t="s">
        <v>942</v>
      </c>
      <c r="C307" s="11" t="s">
        <v>943</v>
      </c>
      <c r="D307" s="12" t="s">
        <v>944</v>
      </c>
      <c r="E307" s="12"/>
      <c r="F307" s="12">
        <v>2020.0</v>
      </c>
      <c r="G307" s="14" t="s">
        <v>21</v>
      </c>
      <c r="H307" s="9"/>
      <c r="I307" s="11" t="s">
        <v>204</v>
      </c>
      <c r="J307" s="17"/>
      <c r="K307" s="9" t="s">
        <v>23</v>
      </c>
      <c r="L307" s="9" t="s">
        <v>24</v>
      </c>
      <c r="M307" s="11" t="s">
        <v>25</v>
      </c>
      <c r="N307" s="11" t="s">
        <v>26</v>
      </c>
      <c r="O307" s="9" t="s">
        <v>27</v>
      </c>
      <c r="P307" s="15">
        <f t="shared" si="5"/>
        <v>0</v>
      </c>
      <c r="Q307" s="16">
        <f t="shared" si="2"/>
        <v>0</v>
      </c>
      <c r="R307" s="6"/>
      <c r="S307" s="6"/>
      <c r="T307" s="6"/>
      <c r="U307" s="6"/>
      <c r="V307" s="6"/>
      <c r="W307" s="6"/>
      <c r="X307" s="6"/>
      <c r="Y307" s="6"/>
    </row>
    <row r="308" ht="31.5" customHeight="1">
      <c r="A308" s="17">
        <v>306.0</v>
      </c>
      <c r="B308" s="10" t="s">
        <v>945</v>
      </c>
      <c r="C308" s="11" t="s">
        <v>946</v>
      </c>
      <c r="D308" s="12" t="s">
        <v>947</v>
      </c>
      <c r="E308" s="12"/>
      <c r="F308" s="12">
        <v>2020.0</v>
      </c>
      <c r="G308" s="14" t="s">
        <v>21</v>
      </c>
      <c r="H308" s="9"/>
      <c r="I308" s="11" t="s">
        <v>204</v>
      </c>
      <c r="J308" s="17"/>
      <c r="K308" s="9" t="s">
        <v>23</v>
      </c>
      <c r="L308" s="9" t="s">
        <v>24</v>
      </c>
      <c r="M308" s="11" t="s">
        <v>25</v>
      </c>
      <c r="N308" s="11" t="s">
        <v>26</v>
      </c>
      <c r="O308" s="9" t="s">
        <v>27</v>
      </c>
      <c r="P308" s="15">
        <f t="shared" si="5"/>
        <v>0</v>
      </c>
      <c r="Q308" s="16">
        <f t="shared" si="2"/>
        <v>0</v>
      </c>
      <c r="R308" s="6"/>
      <c r="S308" s="6"/>
      <c r="T308" s="6"/>
      <c r="U308" s="6"/>
      <c r="V308" s="6"/>
      <c r="W308" s="6"/>
      <c r="X308" s="6"/>
      <c r="Y308" s="6"/>
    </row>
    <row r="309" ht="31.5" customHeight="1">
      <c r="A309" s="17">
        <v>307.0</v>
      </c>
      <c r="B309" s="10" t="s">
        <v>948</v>
      </c>
      <c r="C309" s="11" t="s">
        <v>949</v>
      </c>
      <c r="D309" s="12" t="s">
        <v>950</v>
      </c>
      <c r="E309" s="12"/>
      <c r="F309" s="12">
        <v>2020.0</v>
      </c>
      <c r="G309" s="14" t="s">
        <v>21</v>
      </c>
      <c r="H309" s="9"/>
      <c r="I309" s="11" t="s">
        <v>204</v>
      </c>
      <c r="J309" s="17"/>
      <c r="K309" s="9" t="s">
        <v>23</v>
      </c>
      <c r="L309" s="9" t="s">
        <v>24</v>
      </c>
      <c r="M309" s="11" t="s">
        <v>25</v>
      </c>
      <c r="N309" s="11" t="s">
        <v>26</v>
      </c>
      <c r="O309" s="9" t="s">
        <v>27</v>
      </c>
      <c r="P309" s="15">
        <f t="shared" si="5"/>
        <v>0</v>
      </c>
      <c r="Q309" s="16">
        <f t="shared" si="2"/>
        <v>0</v>
      </c>
      <c r="R309" s="6"/>
      <c r="S309" s="6"/>
      <c r="T309" s="6"/>
      <c r="U309" s="6"/>
      <c r="V309" s="6"/>
      <c r="W309" s="6"/>
      <c r="X309" s="6"/>
      <c r="Y309" s="6"/>
    </row>
    <row r="310" ht="31.5" customHeight="1">
      <c r="A310" s="17">
        <v>308.0</v>
      </c>
      <c r="B310" s="10" t="s">
        <v>951</v>
      </c>
      <c r="C310" s="11" t="s">
        <v>952</v>
      </c>
      <c r="D310" s="12" t="s">
        <v>953</v>
      </c>
      <c r="E310" s="12"/>
      <c r="F310" s="12">
        <v>2020.0</v>
      </c>
      <c r="G310" s="14" t="s">
        <v>21</v>
      </c>
      <c r="H310" s="9"/>
      <c r="I310" s="11" t="s">
        <v>204</v>
      </c>
      <c r="J310" s="17"/>
      <c r="K310" s="9" t="s">
        <v>23</v>
      </c>
      <c r="L310" s="9" t="s">
        <v>24</v>
      </c>
      <c r="M310" s="11" t="s">
        <v>25</v>
      </c>
      <c r="N310" s="11" t="s">
        <v>26</v>
      </c>
      <c r="O310" s="9" t="s">
        <v>27</v>
      </c>
      <c r="P310" s="15">
        <f t="shared" si="5"/>
        <v>0</v>
      </c>
      <c r="Q310" s="16">
        <f t="shared" si="2"/>
        <v>0</v>
      </c>
      <c r="R310" s="6"/>
      <c r="S310" s="6"/>
      <c r="T310" s="6"/>
      <c r="U310" s="6"/>
      <c r="V310" s="6"/>
      <c r="W310" s="6"/>
      <c r="X310" s="6"/>
      <c r="Y310" s="6"/>
    </row>
    <row r="311" ht="31.5" customHeight="1">
      <c r="A311" s="17">
        <v>309.0</v>
      </c>
      <c r="B311" s="10" t="s">
        <v>954</v>
      </c>
      <c r="C311" s="11" t="s">
        <v>955</v>
      </c>
      <c r="D311" s="12" t="s">
        <v>956</v>
      </c>
      <c r="E311" s="12"/>
      <c r="F311" s="12">
        <v>2020.0</v>
      </c>
      <c r="G311" s="14" t="s">
        <v>21</v>
      </c>
      <c r="H311" s="9"/>
      <c r="I311" s="11" t="s">
        <v>204</v>
      </c>
      <c r="J311" s="17"/>
      <c r="K311" s="9" t="s">
        <v>23</v>
      </c>
      <c r="L311" s="9" t="s">
        <v>24</v>
      </c>
      <c r="M311" s="11" t="s">
        <v>25</v>
      </c>
      <c r="N311" s="11" t="s">
        <v>26</v>
      </c>
      <c r="O311" s="9" t="s">
        <v>27</v>
      </c>
      <c r="P311" s="15">
        <f t="shared" si="5"/>
        <v>0</v>
      </c>
      <c r="Q311" s="16">
        <f t="shared" si="2"/>
        <v>0</v>
      </c>
      <c r="R311" s="6"/>
      <c r="S311" s="6"/>
      <c r="T311" s="6"/>
      <c r="U311" s="6"/>
      <c r="V311" s="6"/>
      <c r="W311" s="6"/>
      <c r="X311" s="6"/>
      <c r="Y311" s="6"/>
    </row>
    <row r="312" ht="31.5" customHeight="1">
      <c r="A312" s="17">
        <v>310.0</v>
      </c>
      <c r="B312" s="10" t="s">
        <v>957</v>
      </c>
      <c r="C312" s="11" t="s">
        <v>958</v>
      </c>
      <c r="D312" s="12" t="s">
        <v>959</v>
      </c>
      <c r="E312" s="12"/>
      <c r="F312" s="12">
        <v>2020.0</v>
      </c>
      <c r="G312" s="14" t="s">
        <v>21</v>
      </c>
      <c r="H312" s="9"/>
      <c r="I312" s="11" t="s">
        <v>204</v>
      </c>
      <c r="J312" s="17"/>
      <c r="K312" s="9" t="s">
        <v>23</v>
      </c>
      <c r="L312" s="9" t="s">
        <v>24</v>
      </c>
      <c r="M312" s="11" t="s">
        <v>25</v>
      </c>
      <c r="N312" s="11" t="s">
        <v>26</v>
      </c>
      <c r="O312" s="9" t="s">
        <v>27</v>
      </c>
      <c r="P312" s="15">
        <f t="shared" si="5"/>
        <v>0</v>
      </c>
      <c r="Q312" s="16">
        <f t="shared" si="2"/>
        <v>0</v>
      </c>
      <c r="R312" s="6"/>
      <c r="S312" s="6"/>
      <c r="T312" s="6"/>
      <c r="U312" s="6"/>
      <c r="V312" s="6"/>
      <c r="W312" s="6"/>
      <c r="X312" s="6"/>
      <c r="Y312" s="6"/>
    </row>
    <row r="313" ht="31.5" customHeight="1">
      <c r="A313" s="17">
        <v>311.0</v>
      </c>
      <c r="B313" s="10" t="s">
        <v>960</v>
      </c>
      <c r="C313" s="11" t="s">
        <v>961</v>
      </c>
      <c r="D313" s="12" t="s">
        <v>962</v>
      </c>
      <c r="E313" s="12"/>
      <c r="F313" s="12">
        <v>2020.0</v>
      </c>
      <c r="G313" s="14" t="s">
        <v>21</v>
      </c>
      <c r="H313" s="9"/>
      <c r="I313" s="11" t="s">
        <v>204</v>
      </c>
      <c r="J313" s="17"/>
      <c r="K313" s="9" t="s">
        <v>23</v>
      </c>
      <c r="L313" s="9" t="s">
        <v>24</v>
      </c>
      <c r="M313" s="11" t="s">
        <v>25</v>
      </c>
      <c r="N313" s="11" t="s">
        <v>26</v>
      </c>
      <c r="O313" s="9" t="s">
        <v>27</v>
      </c>
      <c r="P313" s="15">
        <f t="shared" si="5"/>
        <v>0</v>
      </c>
      <c r="Q313" s="16">
        <f t="shared" si="2"/>
        <v>0</v>
      </c>
      <c r="R313" s="6"/>
      <c r="S313" s="6"/>
      <c r="T313" s="6"/>
      <c r="U313" s="6"/>
      <c r="V313" s="6"/>
      <c r="W313" s="6"/>
      <c r="X313" s="6"/>
      <c r="Y313" s="6"/>
    </row>
    <row r="314" ht="31.5" customHeight="1">
      <c r="A314" s="17">
        <v>312.0</v>
      </c>
      <c r="B314" s="10" t="s">
        <v>963</v>
      </c>
      <c r="C314" s="11" t="s">
        <v>964</v>
      </c>
      <c r="D314" s="12" t="s">
        <v>965</v>
      </c>
      <c r="E314" s="12"/>
      <c r="F314" s="12">
        <v>2020.0</v>
      </c>
      <c r="G314" s="14" t="s">
        <v>21</v>
      </c>
      <c r="H314" s="9"/>
      <c r="I314" s="11" t="s">
        <v>204</v>
      </c>
      <c r="J314" s="17"/>
      <c r="K314" s="9" t="s">
        <v>23</v>
      </c>
      <c r="L314" s="9" t="s">
        <v>24</v>
      </c>
      <c r="M314" s="11" t="s">
        <v>25</v>
      </c>
      <c r="N314" s="11" t="s">
        <v>26</v>
      </c>
      <c r="O314" s="9" t="s">
        <v>27</v>
      </c>
      <c r="P314" s="15">
        <f t="shared" si="5"/>
        <v>0</v>
      </c>
      <c r="Q314" s="16">
        <f t="shared" si="2"/>
        <v>0</v>
      </c>
      <c r="R314" s="6"/>
      <c r="S314" s="6"/>
      <c r="T314" s="6"/>
      <c r="U314" s="6"/>
      <c r="V314" s="6"/>
      <c r="W314" s="6"/>
      <c r="X314" s="6"/>
      <c r="Y314" s="6"/>
    </row>
    <row r="315" ht="31.5" customHeight="1">
      <c r="A315" s="17">
        <v>313.0</v>
      </c>
      <c r="B315" s="10" t="s">
        <v>966</v>
      </c>
      <c r="C315" s="11" t="s">
        <v>967</v>
      </c>
      <c r="D315" s="12" t="s">
        <v>968</v>
      </c>
      <c r="E315" s="12"/>
      <c r="F315" s="12">
        <v>2020.0</v>
      </c>
      <c r="G315" s="14" t="s">
        <v>21</v>
      </c>
      <c r="H315" s="9"/>
      <c r="I315" s="11" t="s">
        <v>204</v>
      </c>
      <c r="J315" s="17"/>
      <c r="K315" s="9" t="s">
        <v>23</v>
      </c>
      <c r="L315" s="9" t="s">
        <v>24</v>
      </c>
      <c r="M315" s="11" t="s">
        <v>25</v>
      </c>
      <c r="N315" s="11" t="s">
        <v>26</v>
      </c>
      <c r="O315" s="9" t="s">
        <v>27</v>
      </c>
      <c r="P315" s="15">
        <f t="shared" si="5"/>
        <v>0</v>
      </c>
      <c r="Q315" s="16">
        <f t="shared" si="2"/>
        <v>0</v>
      </c>
      <c r="R315" s="6"/>
      <c r="S315" s="6"/>
      <c r="T315" s="6"/>
      <c r="U315" s="6"/>
      <c r="V315" s="6"/>
      <c r="W315" s="6"/>
      <c r="X315" s="6"/>
      <c r="Y315" s="6"/>
    </row>
    <row r="316" ht="31.5" customHeight="1">
      <c r="A316" s="17">
        <v>314.0</v>
      </c>
      <c r="B316" s="10" t="s">
        <v>969</v>
      </c>
      <c r="C316" s="11" t="s">
        <v>970</v>
      </c>
      <c r="D316" s="12" t="s">
        <v>971</v>
      </c>
      <c r="E316" s="13" t="s">
        <v>920</v>
      </c>
      <c r="F316" s="12">
        <v>2020.0</v>
      </c>
      <c r="G316" s="14" t="s">
        <v>21</v>
      </c>
      <c r="H316" s="9"/>
      <c r="I316" s="11" t="s">
        <v>204</v>
      </c>
      <c r="J316" s="17"/>
      <c r="K316" s="9" t="s">
        <v>23</v>
      </c>
      <c r="L316" s="9" t="s">
        <v>24</v>
      </c>
      <c r="M316" s="11" t="s">
        <v>25</v>
      </c>
      <c r="N316" s="11" t="s">
        <v>26</v>
      </c>
      <c r="O316" s="9" t="s">
        <v>27</v>
      </c>
      <c r="P316" s="15">
        <f t="shared" si="5"/>
        <v>0</v>
      </c>
      <c r="Q316" s="16">
        <f t="shared" si="2"/>
        <v>0</v>
      </c>
      <c r="R316" s="6"/>
      <c r="S316" s="6"/>
      <c r="T316" s="6"/>
      <c r="U316" s="6"/>
      <c r="V316" s="6"/>
      <c r="W316" s="6"/>
      <c r="X316" s="6"/>
      <c r="Y316" s="6"/>
    </row>
    <row r="317" ht="31.5" customHeight="1">
      <c r="A317" s="17">
        <v>315.0</v>
      </c>
      <c r="B317" s="10" t="s">
        <v>972</v>
      </c>
      <c r="C317" s="11" t="s">
        <v>973</v>
      </c>
      <c r="D317" s="12" t="s">
        <v>974</v>
      </c>
      <c r="E317" s="13" t="s">
        <v>679</v>
      </c>
      <c r="F317" s="12">
        <v>2020.0</v>
      </c>
      <c r="G317" s="14" t="s">
        <v>21</v>
      </c>
      <c r="H317" s="9"/>
      <c r="I317" s="11" t="s">
        <v>204</v>
      </c>
      <c r="J317" s="17"/>
      <c r="K317" s="9" t="s">
        <v>23</v>
      </c>
      <c r="L317" s="9" t="s">
        <v>24</v>
      </c>
      <c r="M317" s="11" t="s">
        <v>25</v>
      </c>
      <c r="N317" s="11" t="s">
        <v>26</v>
      </c>
      <c r="O317" s="9" t="s">
        <v>27</v>
      </c>
      <c r="P317" s="15">
        <f t="shared" si="5"/>
        <v>0</v>
      </c>
      <c r="Q317" s="16">
        <f t="shared" si="2"/>
        <v>0</v>
      </c>
      <c r="R317" s="6"/>
      <c r="S317" s="6"/>
      <c r="T317" s="6"/>
      <c r="U317" s="6"/>
      <c r="V317" s="6"/>
      <c r="W317" s="6"/>
      <c r="X317" s="6"/>
      <c r="Y317" s="6"/>
    </row>
    <row r="318" ht="31.5" customHeight="1">
      <c r="A318" s="17">
        <v>316.0</v>
      </c>
      <c r="B318" s="10" t="s">
        <v>975</v>
      </c>
      <c r="C318" s="11" t="s">
        <v>976</v>
      </c>
      <c r="D318" s="12" t="s">
        <v>977</v>
      </c>
      <c r="E318" s="12"/>
      <c r="F318" s="12">
        <v>2020.0</v>
      </c>
      <c r="G318" s="14" t="s">
        <v>21</v>
      </c>
      <c r="H318" s="9"/>
      <c r="I318" s="11" t="s">
        <v>204</v>
      </c>
      <c r="J318" s="17"/>
      <c r="K318" s="9" t="s">
        <v>23</v>
      </c>
      <c r="L318" s="9" t="s">
        <v>24</v>
      </c>
      <c r="M318" s="11" t="s">
        <v>25</v>
      </c>
      <c r="N318" s="11" t="s">
        <v>26</v>
      </c>
      <c r="O318" s="9" t="s">
        <v>27</v>
      </c>
      <c r="P318" s="15">
        <f t="shared" si="5"/>
        <v>0</v>
      </c>
      <c r="Q318" s="16">
        <f t="shared" si="2"/>
        <v>0</v>
      </c>
      <c r="R318" s="6"/>
      <c r="S318" s="6"/>
      <c r="T318" s="6"/>
      <c r="U318" s="6"/>
      <c r="V318" s="6"/>
      <c r="W318" s="6"/>
      <c r="X318" s="6"/>
      <c r="Y318" s="6"/>
    </row>
    <row r="319" ht="31.5" customHeight="1">
      <c r="A319" s="17">
        <v>317.0</v>
      </c>
      <c r="B319" s="10" t="s">
        <v>978</v>
      </c>
      <c r="C319" s="11" t="s">
        <v>979</v>
      </c>
      <c r="D319" s="12" t="s">
        <v>980</v>
      </c>
      <c r="E319" s="12"/>
      <c r="F319" s="12">
        <v>2020.0</v>
      </c>
      <c r="G319" s="14" t="s">
        <v>21</v>
      </c>
      <c r="H319" s="9"/>
      <c r="I319" s="11" t="s">
        <v>204</v>
      </c>
      <c r="J319" s="17"/>
      <c r="K319" s="9" t="s">
        <v>23</v>
      </c>
      <c r="L319" s="9" t="s">
        <v>24</v>
      </c>
      <c r="M319" s="11" t="s">
        <v>25</v>
      </c>
      <c r="N319" s="11" t="s">
        <v>26</v>
      </c>
      <c r="O319" s="9" t="s">
        <v>27</v>
      </c>
      <c r="P319" s="15">
        <f t="shared" si="5"/>
        <v>0</v>
      </c>
      <c r="Q319" s="16">
        <f t="shared" si="2"/>
        <v>0</v>
      </c>
      <c r="R319" s="6"/>
      <c r="S319" s="6"/>
      <c r="T319" s="6"/>
      <c r="U319" s="6"/>
      <c r="V319" s="6"/>
      <c r="W319" s="6"/>
      <c r="X319" s="6"/>
      <c r="Y319" s="6"/>
    </row>
    <row r="320" ht="31.5" customHeight="1">
      <c r="A320" s="17">
        <v>318.0</v>
      </c>
      <c r="B320" s="10" t="s">
        <v>981</v>
      </c>
      <c r="C320" s="11" t="s">
        <v>982</v>
      </c>
      <c r="D320" s="12" t="s">
        <v>983</v>
      </c>
      <c r="E320" s="12"/>
      <c r="F320" s="12">
        <v>2020.0</v>
      </c>
      <c r="G320" s="14" t="s">
        <v>21</v>
      </c>
      <c r="H320" s="9"/>
      <c r="I320" s="11" t="s">
        <v>204</v>
      </c>
      <c r="J320" s="17"/>
      <c r="K320" s="9" t="s">
        <v>23</v>
      </c>
      <c r="L320" s="9" t="s">
        <v>24</v>
      </c>
      <c r="M320" s="11" t="s">
        <v>25</v>
      </c>
      <c r="N320" s="11" t="s">
        <v>26</v>
      </c>
      <c r="O320" s="9" t="s">
        <v>27</v>
      </c>
      <c r="P320" s="15">
        <f t="shared" si="5"/>
        <v>0</v>
      </c>
      <c r="Q320" s="16">
        <f t="shared" si="2"/>
        <v>0</v>
      </c>
      <c r="R320" s="6"/>
      <c r="S320" s="6"/>
      <c r="T320" s="6"/>
      <c r="U320" s="6"/>
      <c r="V320" s="6"/>
      <c r="W320" s="6"/>
      <c r="X320" s="6"/>
      <c r="Y320" s="6"/>
    </row>
    <row r="321" ht="31.5" customHeight="1">
      <c r="A321" s="17">
        <v>319.0</v>
      </c>
      <c r="B321" s="10" t="s">
        <v>984</v>
      </c>
      <c r="C321" s="11" t="s">
        <v>985</v>
      </c>
      <c r="D321" s="12" t="s">
        <v>986</v>
      </c>
      <c r="E321" s="12"/>
      <c r="F321" s="12">
        <v>2020.0</v>
      </c>
      <c r="G321" s="14" t="s">
        <v>21</v>
      </c>
      <c r="H321" s="9"/>
      <c r="I321" s="11" t="s">
        <v>204</v>
      </c>
      <c r="J321" s="17"/>
      <c r="K321" s="9" t="s">
        <v>23</v>
      </c>
      <c r="L321" s="9" t="s">
        <v>24</v>
      </c>
      <c r="M321" s="11" t="s">
        <v>25</v>
      </c>
      <c r="N321" s="11" t="s">
        <v>26</v>
      </c>
      <c r="O321" s="9" t="s">
        <v>27</v>
      </c>
      <c r="P321" s="15">
        <f t="shared" si="5"/>
        <v>0</v>
      </c>
      <c r="Q321" s="16">
        <f t="shared" si="2"/>
        <v>0</v>
      </c>
      <c r="R321" s="6"/>
      <c r="S321" s="6"/>
      <c r="T321" s="6"/>
      <c r="U321" s="6"/>
      <c r="V321" s="6"/>
      <c r="W321" s="6"/>
      <c r="X321" s="6"/>
      <c r="Y321" s="6"/>
    </row>
    <row r="322" ht="31.5" customHeight="1">
      <c r="A322" s="17">
        <v>320.0</v>
      </c>
      <c r="B322" s="10" t="s">
        <v>987</v>
      </c>
      <c r="C322" s="11" t="s">
        <v>988</v>
      </c>
      <c r="D322" s="12" t="s">
        <v>989</v>
      </c>
      <c r="E322" s="12"/>
      <c r="F322" s="12">
        <v>2020.0</v>
      </c>
      <c r="G322" s="14" t="s">
        <v>21</v>
      </c>
      <c r="H322" s="9"/>
      <c r="I322" s="11" t="s">
        <v>204</v>
      </c>
      <c r="J322" s="17"/>
      <c r="K322" s="9" t="s">
        <v>23</v>
      </c>
      <c r="L322" s="9" t="s">
        <v>24</v>
      </c>
      <c r="M322" s="11" t="s">
        <v>25</v>
      </c>
      <c r="N322" s="11" t="s">
        <v>26</v>
      </c>
      <c r="O322" s="9" t="s">
        <v>27</v>
      </c>
      <c r="P322" s="15">
        <f t="shared" si="5"/>
        <v>0</v>
      </c>
      <c r="Q322" s="16">
        <f t="shared" si="2"/>
        <v>0</v>
      </c>
      <c r="R322" s="6"/>
      <c r="S322" s="6"/>
      <c r="T322" s="6"/>
      <c r="U322" s="6"/>
      <c r="V322" s="6"/>
      <c r="W322" s="6"/>
      <c r="X322" s="6"/>
      <c r="Y322" s="6"/>
    </row>
    <row r="323" ht="31.5" customHeight="1">
      <c r="A323" s="17">
        <v>321.0</v>
      </c>
      <c r="B323" s="10" t="s">
        <v>990</v>
      </c>
      <c r="C323" s="11" t="s">
        <v>991</v>
      </c>
      <c r="D323" s="12" t="s">
        <v>992</v>
      </c>
      <c r="E323" s="12"/>
      <c r="F323" s="12">
        <v>2020.0</v>
      </c>
      <c r="G323" s="14" t="s">
        <v>21</v>
      </c>
      <c r="H323" s="9"/>
      <c r="I323" s="11" t="s">
        <v>204</v>
      </c>
      <c r="J323" s="17"/>
      <c r="K323" s="9" t="s">
        <v>23</v>
      </c>
      <c r="L323" s="9" t="s">
        <v>24</v>
      </c>
      <c r="M323" s="11" t="s">
        <v>25</v>
      </c>
      <c r="N323" s="11" t="s">
        <v>26</v>
      </c>
      <c r="O323" s="9" t="s">
        <v>27</v>
      </c>
      <c r="P323" s="15">
        <f t="shared" si="5"/>
        <v>0</v>
      </c>
      <c r="Q323" s="16">
        <f t="shared" si="2"/>
        <v>0</v>
      </c>
      <c r="R323" s="6"/>
      <c r="S323" s="6"/>
      <c r="T323" s="6"/>
      <c r="U323" s="6"/>
      <c r="V323" s="6"/>
      <c r="W323" s="6"/>
      <c r="X323" s="6"/>
      <c r="Y323" s="6"/>
    </row>
    <row r="324" ht="31.5" customHeight="1">
      <c r="A324" s="17">
        <v>322.0</v>
      </c>
      <c r="B324" s="10" t="s">
        <v>993</v>
      </c>
      <c r="C324" s="11" t="s">
        <v>994</v>
      </c>
      <c r="D324" s="12" t="s">
        <v>995</v>
      </c>
      <c r="E324" s="12"/>
      <c r="F324" s="12">
        <v>2020.0</v>
      </c>
      <c r="G324" s="14" t="s">
        <v>21</v>
      </c>
      <c r="H324" s="9"/>
      <c r="I324" s="11" t="s">
        <v>204</v>
      </c>
      <c r="J324" s="17"/>
      <c r="K324" s="9" t="s">
        <v>23</v>
      </c>
      <c r="L324" s="9" t="s">
        <v>24</v>
      </c>
      <c r="M324" s="11" t="s">
        <v>25</v>
      </c>
      <c r="N324" s="11" t="s">
        <v>26</v>
      </c>
      <c r="O324" s="9" t="s">
        <v>27</v>
      </c>
      <c r="P324" s="15">
        <f t="shared" si="5"/>
        <v>0</v>
      </c>
      <c r="Q324" s="16">
        <f t="shared" si="2"/>
        <v>0</v>
      </c>
      <c r="R324" s="6"/>
      <c r="S324" s="6"/>
      <c r="T324" s="6"/>
      <c r="U324" s="6"/>
      <c r="V324" s="6"/>
      <c r="W324" s="6"/>
      <c r="X324" s="6"/>
      <c r="Y324" s="6"/>
    </row>
    <row r="325" ht="31.5" customHeight="1">
      <c r="A325" s="17">
        <v>323.0</v>
      </c>
      <c r="B325" s="10" t="s">
        <v>996</v>
      </c>
      <c r="C325" s="11" t="s">
        <v>994</v>
      </c>
      <c r="D325" s="12" t="s">
        <v>997</v>
      </c>
      <c r="E325" s="12"/>
      <c r="F325" s="12">
        <v>2020.0</v>
      </c>
      <c r="G325" s="14" t="s">
        <v>21</v>
      </c>
      <c r="H325" s="9"/>
      <c r="I325" s="11" t="s">
        <v>204</v>
      </c>
      <c r="J325" s="17"/>
      <c r="K325" s="9" t="s">
        <v>23</v>
      </c>
      <c r="L325" s="9" t="s">
        <v>24</v>
      </c>
      <c r="M325" s="11" t="s">
        <v>25</v>
      </c>
      <c r="N325" s="11" t="s">
        <v>26</v>
      </c>
      <c r="O325" s="9" t="s">
        <v>27</v>
      </c>
      <c r="P325" s="15">
        <f t="shared" si="5"/>
        <v>0</v>
      </c>
      <c r="Q325" s="16">
        <f t="shared" si="2"/>
        <v>0</v>
      </c>
      <c r="R325" s="6"/>
      <c r="S325" s="6"/>
      <c r="T325" s="6"/>
      <c r="U325" s="6"/>
      <c r="V325" s="6"/>
      <c r="W325" s="6"/>
      <c r="X325" s="6"/>
      <c r="Y325" s="6"/>
    </row>
    <row r="326" ht="31.5" customHeight="1">
      <c r="A326" s="17">
        <v>324.0</v>
      </c>
      <c r="B326" s="10" t="s">
        <v>998</v>
      </c>
      <c r="C326" s="11" t="s">
        <v>999</v>
      </c>
      <c r="D326" s="12" t="s">
        <v>1000</v>
      </c>
      <c r="E326" s="12"/>
      <c r="F326" s="12">
        <v>2020.0</v>
      </c>
      <c r="G326" s="14" t="s">
        <v>21</v>
      </c>
      <c r="H326" s="9"/>
      <c r="I326" s="11" t="s">
        <v>204</v>
      </c>
      <c r="J326" s="17"/>
      <c r="K326" s="9" t="s">
        <v>23</v>
      </c>
      <c r="L326" s="9" t="s">
        <v>24</v>
      </c>
      <c r="M326" s="11" t="s">
        <v>25</v>
      </c>
      <c r="N326" s="11" t="s">
        <v>26</v>
      </c>
      <c r="O326" s="9" t="s">
        <v>27</v>
      </c>
      <c r="P326" s="15">
        <f t="shared" si="5"/>
        <v>0</v>
      </c>
      <c r="Q326" s="16">
        <f t="shared" si="2"/>
        <v>0</v>
      </c>
      <c r="R326" s="6"/>
      <c r="S326" s="6"/>
      <c r="T326" s="6"/>
      <c r="U326" s="6"/>
      <c r="V326" s="6"/>
      <c r="W326" s="6"/>
      <c r="X326" s="6"/>
      <c r="Y326" s="6"/>
    </row>
    <row r="327" ht="31.5" customHeight="1">
      <c r="A327" s="17">
        <v>325.0</v>
      </c>
      <c r="B327" s="10" t="s">
        <v>1001</v>
      </c>
      <c r="C327" s="11" t="s">
        <v>1002</v>
      </c>
      <c r="D327" s="12" t="s">
        <v>1003</v>
      </c>
      <c r="E327" s="12"/>
      <c r="F327" s="12">
        <v>2020.0</v>
      </c>
      <c r="G327" s="14" t="s">
        <v>21</v>
      </c>
      <c r="H327" s="9"/>
      <c r="I327" s="11" t="s">
        <v>204</v>
      </c>
      <c r="J327" s="17"/>
      <c r="K327" s="9" t="s">
        <v>23</v>
      </c>
      <c r="L327" s="9" t="s">
        <v>24</v>
      </c>
      <c r="M327" s="11" t="s">
        <v>25</v>
      </c>
      <c r="N327" s="11" t="s">
        <v>26</v>
      </c>
      <c r="O327" s="9" t="s">
        <v>27</v>
      </c>
      <c r="P327" s="15">
        <f t="shared" si="5"/>
        <v>0</v>
      </c>
      <c r="Q327" s="16">
        <f t="shared" si="2"/>
        <v>0</v>
      </c>
      <c r="R327" s="6"/>
      <c r="S327" s="6"/>
      <c r="T327" s="6"/>
      <c r="U327" s="6"/>
      <c r="V327" s="6"/>
      <c r="W327" s="6"/>
      <c r="X327" s="6"/>
      <c r="Y327" s="6"/>
    </row>
    <row r="328" ht="31.5" customHeight="1">
      <c r="A328" s="17">
        <v>326.0</v>
      </c>
      <c r="B328" s="10" t="s">
        <v>1004</v>
      </c>
      <c r="C328" s="11" t="s">
        <v>1005</v>
      </c>
      <c r="D328" s="12" t="s">
        <v>1006</v>
      </c>
      <c r="E328" s="12"/>
      <c r="F328" s="12">
        <v>2020.0</v>
      </c>
      <c r="G328" s="14" t="s">
        <v>21</v>
      </c>
      <c r="H328" s="9"/>
      <c r="I328" s="11" t="s">
        <v>204</v>
      </c>
      <c r="J328" s="17"/>
      <c r="K328" s="9" t="s">
        <v>23</v>
      </c>
      <c r="L328" s="9" t="s">
        <v>24</v>
      </c>
      <c r="M328" s="11" t="s">
        <v>25</v>
      </c>
      <c r="N328" s="11" t="s">
        <v>26</v>
      </c>
      <c r="O328" s="9" t="s">
        <v>27</v>
      </c>
      <c r="P328" s="15">
        <f t="shared" si="5"/>
        <v>0</v>
      </c>
      <c r="Q328" s="16">
        <f t="shared" si="2"/>
        <v>0</v>
      </c>
      <c r="R328" s="6"/>
      <c r="S328" s="6"/>
      <c r="T328" s="6"/>
      <c r="U328" s="6"/>
      <c r="V328" s="6"/>
      <c r="W328" s="6"/>
      <c r="X328" s="6"/>
      <c r="Y328" s="6"/>
    </row>
    <row r="329" ht="31.5" customHeight="1">
      <c r="A329" s="17">
        <v>327.0</v>
      </c>
      <c r="B329" s="10" t="s">
        <v>1007</v>
      </c>
      <c r="C329" s="11" t="s">
        <v>1008</v>
      </c>
      <c r="D329" s="12" t="s">
        <v>1009</v>
      </c>
      <c r="E329" s="12"/>
      <c r="F329" s="12">
        <v>2020.0</v>
      </c>
      <c r="G329" s="14" t="s">
        <v>21</v>
      </c>
      <c r="H329" s="9"/>
      <c r="I329" s="11" t="s">
        <v>204</v>
      </c>
      <c r="J329" s="17"/>
      <c r="K329" s="9" t="s">
        <v>23</v>
      </c>
      <c r="L329" s="9" t="s">
        <v>24</v>
      </c>
      <c r="M329" s="11" t="s">
        <v>25</v>
      </c>
      <c r="N329" s="11" t="s">
        <v>26</v>
      </c>
      <c r="O329" s="9" t="s">
        <v>27</v>
      </c>
      <c r="P329" s="15">
        <f t="shared" si="5"/>
        <v>0</v>
      </c>
      <c r="Q329" s="16">
        <f t="shared" si="2"/>
        <v>0</v>
      </c>
      <c r="R329" s="6"/>
      <c r="S329" s="6"/>
      <c r="T329" s="6"/>
      <c r="U329" s="6"/>
      <c r="V329" s="6"/>
      <c r="W329" s="6"/>
      <c r="X329" s="6"/>
      <c r="Y329" s="6"/>
    </row>
    <row r="330" ht="31.5" customHeight="1">
      <c r="A330" s="17">
        <v>328.0</v>
      </c>
      <c r="B330" s="10" t="s">
        <v>1010</v>
      </c>
      <c r="C330" s="11" t="s">
        <v>1011</v>
      </c>
      <c r="D330" s="12" t="s">
        <v>1012</v>
      </c>
      <c r="E330" s="12"/>
      <c r="F330" s="12">
        <v>2020.0</v>
      </c>
      <c r="G330" s="14" t="s">
        <v>21</v>
      </c>
      <c r="H330" s="9"/>
      <c r="I330" s="11" t="s">
        <v>204</v>
      </c>
      <c r="J330" s="17"/>
      <c r="K330" s="9" t="s">
        <v>23</v>
      </c>
      <c r="L330" s="9" t="s">
        <v>24</v>
      </c>
      <c r="M330" s="11" t="s">
        <v>25</v>
      </c>
      <c r="N330" s="11" t="s">
        <v>26</v>
      </c>
      <c r="O330" s="9" t="s">
        <v>27</v>
      </c>
      <c r="P330" s="15">
        <f t="shared" si="5"/>
        <v>0</v>
      </c>
      <c r="Q330" s="16">
        <f t="shared" si="2"/>
        <v>0</v>
      </c>
      <c r="R330" s="6"/>
      <c r="S330" s="6"/>
      <c r="T330" s="6"/>
      <c r="U330" s="6"/>
      <c r="V330" s="6"/>
      <c r="W330" s="6"/>
      <c r="X330" s="6"/>
      <c r="Y330" s="6"/>
    </row>
    <row r="331" ht="31.5" customHeight="1">
      <c r="A331" s="17">
        <v>329.0</v>
      </c>
      <c r="B331" s="10" t="s">
        <v>1013</v>
      </c>
      <c r="C331" s="11" t="s">
        <v>1014</v>
      </c>
      <c r="D331" s="12" t="s">
        <v>1015</v>
      </c>
      <c r="E331" s="12"/>
      <c r="F331" s="12">
        <v>2020.0</v>
      </c>
      <c r="G331" s="14" t="s">
        <v>21</v>
      </c>
      <c r="H331" s="9"/>
      <c r="I331" s="11" t="s">
        <v>204</v>
      </c>
      <c r="J331" s="17"/>
      <c r="K331" s="9" t="s">
        <v>23</v>
      </c>
      <c r="L331" s="9" t="s">
        <v>24</v>
      </c>
      <c r="M331" s="11" t="s">
        <v>25</v>
      </c>
      <c r="N331" s="11" t="s">
        <v>26</v>
      </c>
      <c r="O331" s="9" t="s">
        <v>27</v>
      </c>
      <c r="P331" s="15">
        <f t="shared" si="5"/>
        <v>0</v>
      </c>
      <c r="Q331" s="16">
        <f t="shared" si="2"/>
        <v>0</v>
      </c>
      <c r="R331" s="6"/>
      <c r="S331" s="6"/>
      <c r="T331" s="6"/>
      <c r="U331" s="6"/>
      <c r="V331" s="6"/>
      <c r="W331" s="6"/>
      <c r="X331" s="6"/>
      <c r="Y331" s="6"/>
    </row>
    <row r="332" ht="31.5" customHeight="1">
      <c r="A332" s="17">
        <v>330.0</v>
      </c>
      <c r="B332" s="10" t="s">
        <v>1016</v>
      </c>
      <c r="C332" s="11" t="s">
        <v>1017</v>
      </c>
      <c r="D332" s="12" t="s">
        <v>1018</v>
      </c>
      <c r="E332" s="12"/>
      <c r="F332" s="12">
        <v>2020.0</v>
      </c>
      <c r="G332" s="14" t="s">
        <v>21</v>
      </c>
      <c r="H332" s="9"/>
      <c r="I332" s="11" t="s">
        <v>204</v>
      </c>
      <c r="J332" s="17"/>
      <c r="K332" s="9" t="s">
        <v>23</v>
      </c>
      <c r="L332" s="9" t="s">
        <v>24</v>
      </c>
      <c r="M332" s="11" t="s">
        <v>25</v>
      </c>
      <c r="N332" s="11" t="s">
        <v>26</v>
      </c>
      <c r="O332" s="9" t="s">
        <v>27</v>
      </c>
      <c r="P332" s="15">
        <f t="shared" si="5"/>
        <v>0</v>
      </c>
      <c r="Q332" s="16">
        <f t="shared" si="2"/>
        <v>0</v>
      </c>
      <c r="R332" s="6"/>
      <c r="S332" s="6"/>
      <c r="T332" s="6"/>
      <c r="U332" s="6"/>
      <c r="V332" s="6"/>
      <c r="W332" s="6"/>
      <c r="X332" s="6"/>
      <c r="Y332" s="6"/>
    </row>
    <row r="333" ht="31.5" customHeight="1">
      <c r="A333" s="17">
        <v>331.0</v>
      </c>
      <c r="B333" s="10" t="s">
        <v>1019</v>
      </c>
      <c r="C333" s="11" t="s">
        <v>1020</v>
      </c>
      <c r="D333" s="12" t="s">
        <v>1021</v>
      </c>
      <c r="E333" s="12"/>
      <c r="F333" s="12">
        <v>2020.0</v>
      </c>
      <c r="G333" s="14" t="s">
        <v>21</v>
      </c>
      <c r="H333" s="9"/>
      <c r="I333" s="11" t="s">
        <v>204</v>
      </c>
      <c r="J333" s="17"/>
      <c r="K333" s="9" t="s">
        <v>23</v>
      </c>
      <c r="L333" s="9" t="s">
        <v>24</v>
      </c>
      <c r="M333" s="11" t="s">
        <v>25</v>
      </c>
      <c r="N333" s="11" t="s">
        <v>26</v>
      </c>
      <c r="O333" s="9" t="s">
        <v>27</v>
      </c>
      <c r="P333" s="15">
        <f t="shared" si="5"/>
        <v>0</v>
      </c>
      <c r="Q333" s="16">
        <f t="shared" si="2"/>
        <v>0</v>
      </c>
      <c r="R333" s="6"/>
      <c r="S333" s="6"/>
      <c r="T333" s="6"/>
      <c r="U333" s="6"/>
      <c r="V333" s="6"/>
      <c r="W333" s="6"/>
      <c r="X333" s="6"/>
      <c r="Y333" s="6"/>
    </row>
    <row r="334" ht="31.5" customHeight="1">
      <c r="A334" s="17">
        <v>332.0</v>
      </c>
      <c r="B334" s="10" t="s">
        <v>1022</v>
      </c>
      <c r="C334" s="11" t="s">
        <v>1023</v>
      </c>
      <c r="D334" s="12" t="s">
        <v>1024</v>
      </c>
      <c r="E334" s="12"/>
      <c r="F334" s="12">
        <v>2020.0</v>
      </c>
      <c r="G334" s="14" t="s">
        <v>21</v>
      </c>
      <c r="H334" s="9"/>
      <c r="I334" s="11" t="s">
        <v>204</v>
      </c>
      <c r="J334" s="17"/>
      <c r="K334" s="9" t="s">
        <v>23</v>
      </c>
      <c r="L334" s="9" t="s">
        <v>24</v>
      </c>
      <c r="M334" s="11" t="s">
        <v>25</v>
      </c>
      <c r="N334" s="11" t="s">
        <v>26</v>
      </c>
      <c r="O334" s="9" t="s">
        <v>27</v>
      </c>
      <c r="P334" s="15">
        <f t="shared" si="5"/>
        <v>0</v>
      </c>
      <c r="Q334" s="16">
        <f t="shared" si="2"/>
        <v>0</v>
      </c>
      <c r="R334" s="6"/>
      <c r="S334" s="6"/>
      <c r="T334" s="6"/>
      <c r="U334" s="6"/>
      <c r="V334" s="6"/>
      <c r="W334" s="6"/>
      <c r="X334" s="6"/>
      <c r="Y334" s="6"/>
    </row>
    <row r="335" ht="31.5" customHeight="1">
      <c r="A335" s="17">
        <v>333.0</v>
      </c>
      <c r="B335" s="10" t="s">
        <v>1025</v>
      </c>
      <c r="C335" s="11" t="s">
        <v>1026</v>
      </c>
      <c r="D335" s="12" t="s">
        <v>1027</v>
      </c>
      <c r="E335" s="12"/>
      <c r="F335" s="12">
        <v>2020.0</v>
      </c>
      <c r="G335" s="14" t="s">
        <v>21</v>
      </c>
      <c r="H335" s="9"/>
      <c r="I335" s="11" t="s">
        <v>204</v>
      </c>
      <c r="J335" s="17"/>
      <c r="K335" s="9" t="s">
        <v>23</v>
      </c>
      <c r="L335" s="9" t="s">
        <v>24</v>
      </c>
      <c r="M335" s="11" t="s">
        <v>25</v>
      </c>
      <c r="N335" s="11" t="s">
        <v>26</v>
      </c>
      <c r="O335" s="9" t="s">
        <v>27</v>
      </c>
      <c r="P335" s="15">
        <f t="shared" si="5"/>
        <v>0</v>
      </c>
      <c r="Q335" s="16">
        <f t="shared" si="2"/>
        <v>0</v>
      </c>
      <c r="R335" s="6"/>
      <c r="S335" s="6"/>
      <c r="T335" s="6"/>
      <c r="U335" s="6"/>
      <c r="V335" s="6"/>
      <c r="W335" s="6"/>
      <c r="X335" s="6"/>
      <c r="Y335" s="6"/>
    </row>
    <row r="336" ht="31.5" customHeight="1">
      <c r="A336" s="17">
        <v>334.0</v>
      </c>
      <c r="B336" s="10" t="s">
        <v>1028</v>
      </c>
      <c r="C336" s="11" t="s">
        <v>1029</v>
      </c>
      <c r="D336" s="12" t="s">
        <v>1030</v>
      </c>
      <c r="E336" s="12"/>
      <c r="F336" s="12">
        <v>2020.0</v>
      </c>
      <c r="G336" s="14" t="s">
        <v>21</v>
      </c>
      <c r="H336" s="9"/>
      <c r="I336" s="11" t="s">
        <v>204</v>
      </c>
      <c r="J336" s="17"/>
      <c r="K336" s="9" t="s">
        <v>23</v>
      </c>
      <c r="L336" s="9" t="s">
        <v>24</v>
      </c>
      <c r="M336" s="11" t="s">
        <v>25</v>
      </c>
      <c r="N336" s="11" t="s">
        <v>26</v>
      </c>
      <c r="O336" s="9" t="s">
        <v>27</v>
      </c>
      <c r="P336" s="15">
        <f t="shared" si="5"/>
        <v>0</v>
      </c>
      <c r="Q336" s="16">
        <f t="shared" si="2"/>
        <v>0</v>
      </c>
      <c r="R336" s="6"/>
      <c r="S336" s="6"/>
      <c r="T336" s="6"/>
      <c r="U336" s="6"/>
      <c r="V336" s="6"/>
      <c r="W336" s="6"/>
      <c r="X336" s="6"/>
      <c r="Y336" s="6"/>
    </row>
    <row r="337" ht="31.5" customHeight="1">
      <c r="A337" s="17">
        <v>335.0</v>
      </c>
      <c r="B337" s="10" t="s">
        <v>1031</v>
      </c>
      <c r="C337" s="11" t="s">
        <v>1032</v>
      </c>
      <c r="D337" s="12" t="s">
        <v>1033</v>
      </c>
      <c r="E337" s="12"/>
      <c r="F337" s="12">
        <v>2020.0</v>
      </c>
      <c r="G337" s="14" t="s">
        <v>21</v>
      </c>
      <c r="H337" s="9"/>
      <c r="I337" s="11" t="s">
        <v>204</v>
      </c>
      <c r="J337" s="17"/>
      <c r="K337" s="9" t="s">
        <v>23</v>
      </c>
      <c r="L337" s="9" t="s">
        <v>24</v>
      </c>
      <c r="M337" s="11" t="s">
        <v>25</v>
      </c>
      <c r="N337" s="11" t="s">
        <v>26</v>
      </c>
      <c r="O337" s="9" t="s">
        <v>27</v>
      </c>
      <c r="P337" s="15">
        <f t="shared" si="5"/>
        <v>0</v>
      </c>
      <c r="Q337" s="16">
        <f t="shared" si="2"/>
        <v>0</v>
      </c>
      <c r="R337" s="6"/>
      <c r="S337" s="6"/>
      <c r="T337" s="6"/>
      <c r="U337" s="6"/>
      <c r="V337" s="6"/>
      <c r="W337" s="6"/>
      <c r="X337" s="6"/>
      <c r="Y337" s="6"/>
    </row>
    <row r="338" ht="31.5" customHeight="1">
      <c r="A338" s="17">
        <v>336.0</v>
      </c>
      <c r="B338" s="10" t="s">
        <v>1034</v>
      </c>
      <c r="C338" s="11" t="s">
        <v>1035</v>
      </c>
      <c r="D338" s="12" t="s">
        <v>1036</v>
      </c>
      <c r="E338" s="12"/>
      <c r="F338" s="12">
        <v>2020.0</v>
      </c>
      <c r="G338" s="14" t="s">
        <v>21</v>
      </c>
      <c r="H338" s="9"/>
      <c r="I338" s="11" t="s">
        <v>204</v>
      </c>
      <c r="J338" s="17"/>
      <c r="K338" s="9" t="s">
        <v>23</v>
      </c>
      <c r="L338" s="9" t="s">
        <v>24</v>
      </c>
      <c r="M338" s="11" t="s">
        <v>25</v>
      </c>
      <c r="N338" s="11" t="s">
        <v>26</v>
      </c>
      <c r="O338" s="9" t="s">
        <v>27</v>
      </c>
      <c r="P338" s="15">
        <f t="shared" si="5"/>
        <v>0</v>
      </c>
      <c r="Q338" s="16">
        <f t="shared" si="2"/>
        <v>0</v>
      </c>
      <c r="R338" s="6"/>
      <c r="S338" s="6"/>
      <c r="T338" s="6"/>
      <c r="U338" s="6"/>
      <c r="V338" s="6"/>
      <c r="W338" s="6"/>
      <c r="X338" s="6"/>
      <c r="Y338" s="6"/>
    </row>
    <row r="339" ht="31.5" customHeight="1">
      <c r="A339" s="17">
        <v>337.0</v>
      </c>
      <c r="B339" s="10" t="s">
        <v>1037</v>
      </c>
      <c r="C339" s="11" t="s">
        <v>1038</v>
      </c>
      <c r="D339" s="12" t="s">
        <v>1039</v>
      </c>
      <c r="E339" s="12"/>
      <c r="F339" s="12">
        <v>2020.0</v>
      </c>
      <c r="G339" s="14" t="s">
        <v>21</v>
      </c>
      <c r="H339" s="9"/>
      <c r="I339" s="11" t="s">
        <v>204</v>
      </c>
      <c r="J339" s="17"/>
      <c r="K339" s="9" t="s">
        <v>23</v>
      </c>
      <c r="L339" s="9" t="s">
        <v>24</v>
      </c>
      <c r="M339" s="11" t="s">
        <v>25</v>
      </c>
      <c r="N339" s="11" t="s">
        <v>26</v>
      </c>
      <c r="O339" s="9" t="s">
        <v>27</v>
      </c>
      <c r="P339" s="15">
        <f t="shared" si="5"/>
        <v>0</v>
      </c>
      <c r="Q339" s="16">
        <f t="shared" si="2"/>
        <v>0</v>
      </c>
      <c r="R339" s="6"/>
      <c r="S339" s="6"/>
      <c r="T339" s="6"/>
      <c r="U339" s="6"/>
      <c r="V339" s="6"/>
      <c r="W339" s="6"/>
      <c r="X339" s="6"/>
      <c r="Y339" s="6"/>
    </row>
    <row r="340" ht="31.5" customHeight="1">
      <c r="A340" s="17">
        <v>338.0</v>
      </c>
      <c r="B340" s="10" t="s">
        <v>1040</v>
      </c>
      <c r="C340" s="11" t="s">
        <v>1041</v>
      </c>
      <c r="D340" s="12" t="s">
        <v>1042</v>
      </c>
      <c r="E340" s="12"/>
      <c r="F340" s="12">
        <v>2020.0</v>
      </c>
      <c r="G340" s="14" t="s">
        <v>21</v>
      </c>
      <c r="H340" s="9"/>
      <c r="I340" s="11" t="s">
        <v>204</v>
      </c>
      <c r="J340" s="17"/>
      <c r="K340" s="9" t="s">
        <v>23</v>
      </c>
      <c r="L340" s="9" t="s">
        <v>24</v>
      </c>
      <c r="M340" s="11" t="s">
        <v>25</v>
      </c>
      <c r="N340" s="11" t="s">
        <v>26</v>
      </c>
      <c r="O340" s="9" t="s">
        <v>27</v>
      </c>
      <c r="P340" s="15">
        <f t="shared" si="5"/>
        <v>0</v>
      </c>
      <c r="Q340" s="16">
        <f t="shared" si="2"/>
        <v>0</v>
      </c>
      <c r="R340" s="6"/>
      <c r="S340" s="6"/>
      <c r="T340" s="6"/>
      <c r="U340" s="6"/>
      <c r="V340" s="6"/>
      <c r="W340" s="6"/>
      <c r="X340" s="6"/>
      <c r="Y340" s="6"/>
    </row>
    <row r="341" ht="31.5" customHeight="1">
      <c r="A341" s="17">
        <v>339.0</v>
      </c>
      <c r="B341" s="10" t="s">
        <v>1043</v>
      </c>
      <c r="C341" s="11" t="s">
        <v>1044</v>
      </c>
      <c r="D341" s="12" t="s">
        <v>1045</v>
      </c>
      <c r="E341" s="12"/>
      <c r="F341" s="12">
        <v>2020.0</v>
      </c>
      <c r="G341" s="14" t="s">
        <v>21</v>
      </c>
      <c r="H341" s="9"/>
      <c r="I341" s="11" t="s">
        <v>204</v>
      </c>
      <c r="J341" s="17"/>
      <c r="K341" s="9" t="s">
        <v>23</v>
      </c>
      <c r="L341" s="9" t="s">
        <v>24</v>
      </c>
      <c r="M341" s="11" t="s">
        <v>25</v>
      </c>
      <c r="N341" s="11" t="s">
        <v>26</v>
      </c>
      <c r="O341" s="9" t="s">
        <v>27</v>
      </c>
      <c r="P341" s="15">
        <f t="shared" si="5"/>
        <v>0</v>
      </c>
      <c r="Q341" s="16">
        <f t="shared" si="2"/>
        <v>0</v>
      </c>
      <c r="R341" s="6"/>
      <c r="S341" s="6"/>
      <c r="T341" s="6"/>
      <c r="U341" s="6"/>
      <c r="V341" s="6"/>
      <c r="W341" s="6"/>
      <c r="X341" s="6"/>
      <c r="Y341" s="6"/>
    </row>
    <row r="342" ht="31.5" customHeight="1">
      <c r="A342" s="17">
        <v>340.0</v>
      </c>
      <c r="B342" s="10" t="s">
        <v>1046</v>
      </c>
      <c r="C342" s="11" t="s">
        <v>1047</v>
      </c>
      <c r="D342" s="12" t="s">
        <v>1048</v>
      </c>
      <c r="E342" s="12"/>
      <c r="F342" s="12">
        <v>2020.0</v>
      </c>
      <c r="G342" s="14" t="s">
        <v>21</v>
      </c>
      <c r="H342" s="9"/>
      <c r="I342" s="11" t="s">
        <v>204</v>
      </c>
      <c r="J342" s="17"/>
      <c r="K342" s="9" t="s">
        <v>23</v>
      </c>
      <c r="L342" s="9" t="s">
        <v>24</v>
      </c>
      <c r="M342" s="11" t="s">
        <v>25</v>
      </c>
      <c r="N342" s="11" t="s">
        <v>26</v>
      </c>
      <c r="O342" s="9" t="s">
        <v>27</v>
      </c>
      <c r="P342" s="15">
        <f t="shared" si="5"/>
        <v>0</v>
      </c>
      <c r="Q342" s="16">
        <f t="shared" si="2"/>
        <v>0</v>
      </c>
      <c r="R342" s="6"/>
      <c r="S342" s="6"/>
      <c r="T342" s="6"/>
      <c r="U342" s="6"/>
      <c r="V342" s="6"/>
      <c r="W342" s="6"/>
      <c r="X342" s="6"/>
      <c r="Y342" s="6"/>
    </row>
    <row r="343" ht="31.5" customHeight="1">
      <c r="A343" s="17">
        <v>341.0</v>
      </c>
      <c r="B343" s="10" t="s">
        <v>1049</v>
      </c>
      <c r="C343" s="11" t="s">
        <v>1050</v>
      </c>
      <c r="D343" s="12" t="s">
        <v>1051</v>
      </c>
      <c r="E343" s="12"/>
      <c r="F343" s="12">
        <v>2020.0</v>
      </c>
      <c r="G343" s="14" t="s">
        <v>21</v>
      </c>
      <c r="H343" s="9"/>
      <c r="I343" s="11" t="s">
        <v>204</v>
      </c>
      <c r="J343" s="17"/>
      <c r="K343" s="9" t="s">
        <v>23</v>
      </c>
      <c r="L343" s="9" t="s">
        <v>24</v>
      </c>
      <c r="M343" s="11" t="s">
        <v>25</v>
      </c>
      <c r="N343" s="11" t="s">
        <v>26</v>
      </c>
      <c r="O343" s="9" t="s">
        <v>27</v>
      </c>
      <c r="P343" s="15">
        <f t="shared" si="5"/>
        <v>0</v>
      </c>
      <c r="Q343" s="16">
        <f t="shared" si="2"/>
        <v>0</v>
      </c>
      <c r="R343" s="6"/>
      <c r="S343" s="6"/>
      <c r="T343" s="6"/>
      <c r="U343" s="6"/>
      <c r="V343" s="6"/>
      <c r="W343" s="6"/>
      <c r="X343" s="6"/>
      <c r="Y343" s="6"/>
    </row>
    <row r="344" ht="31.5" customHeight="1">
      <c r="A344" s="17">
        <v>342.0</v>
      </c>
      <c r="B344" s="10" t="s">
        <v>1052</v>
      </c>
      <c r="C344" s="11" t="s">
        <v>638</v>
      </c>
      <c r="D344" s="12" t="s">
        <v>1053</v>
      </c>
      <c r="E344" s="12"/>
      <c r="F344" s="12">
        <v>2020.0</v>
      </c>
      <c r="G344" s="14" t="s">
        <v>21</v>
      </c>
      <c r="H344" s="9"/>
      <c r="I344" s="11" t="s">
        <v>204</v>
      </c>
      <c r="J344" s="17"/>
      <c r="K344" s="9" t="s">
        <v>23</v>
      </c>
      <c r="L344" s="9" t="s">
        <v>24</v>
      </c>
      <c r="M344" s="11" t="s">
        <v>25</v>
      </c>
      <c r="N344" s="11" t="s">
        <v>26</v>
      </c>
      <c r="O344" s="9" t="s">
        <v>27</v>
      </c>
      <c r="P344" s="15">
        <f t="shared" si="5"/>
        <v>0</v>
      </c>
      <c r="Q344" s="16">
        <f t="shared" si="2"/>
        <v>0</v>
      </c>
      <c r="R344" s="6"/>
      <c r="S344" s="6"/>
      <c r="T344" s="6"/>
      <c r="U344" s="6"/>
      <c r="V344" s="6"/>
      <c r="W344" s="6"/>
      <c r="X344" s="6"/>
      <c r="Y344" s="6"/>
    </row>
    <row r="345" ht="31.5" customHeight="1">
      <c r="A345" s="17">
        <v>343.0</v>
      </c>
      <c r="B345" s="10" t="s">
        <v>1054</v>
      </c>
      <c r="C345" s="11" t="s">
        <v>1055</v>
      </c>
      <c r="D345" s="12" t="s">
        <v>1056</v>
      </c>
      <c r="E345" s="12"/>
      <c r="F345" s="12">
        <v>2020.0</v>
      </c>
      <c r="G345" s="14" t="s">
        <v>21</v>
      </c>
      <c r="H345" s="9"/>
      <c r="I345" s="11" t="s">
        <v>204</v>
      </c>
      <c r="J345" s="17"/>
      <c r="K345" s="9" t="s">
        <v>23</v>
      </c>
      <c r="L345" s="9" t="s">
        <v>24</v>
      </c>
      <c r="M345" s="11" t="s">
        <v>25</v>
      </c>
      <c r="N345" s="11" t="s">
        <v>26</v>
      </c>
      <c r="O345" s="9" t="s">
        <v>27</v>
      </c>
      <c r="P345" s="15">
        <f t="shared" si="5"/>
        <v>0</v>
      </c>
      <c r="Q345" s="16">
        <f t="shared" si="2"/>
        <v>0</v>
      </c>
      <c r="R345" s="6"/>
      <c r="S345" s="6"/>
      <c r="T345" s="6"/>
      <c r="U345" s="6"/>
      <c r="V345" s="6"/>
      <c r="W345" s="6"/>
      <c r="X345" s="6"/>
      <c r="Y345" s="6"/>
    </row>
    <row r="346" ht="31.5" customHeight="1">
      <c r="A346" s="17">
        <v>344.0</v>
      </c>
      <c r="B346" s="10" t="s">
        <v>1057</v>
      </c>
      <c r="C346" s="11" t="s">
        <v>638</v>
      </c>
      <c r="D346" s="12" t="s">
        <v>1058</v>
      </c>
      <c r="E346" s="13" t="s">
        <v>115</v>
      </c>
      <c r="F346" s="12">
        <v>2020.0</v>
      </c>
      <c r="G346" s="14" t="s">
        <v>21</v>
      </c>
      <c r="H346" s="9"/>
      <c r="I346" s="11" t="s">
        <v>204</v>
      </c>
      <c r="J346" s="17"/>
      <c r="K346" s="9" t="s">
        <v>23</v>
      </c>
      <c r="L346" s="9" t="s">
        <v>24</v>
      </c>
      <c r="M346" s="11" t="s">
        <v>25</v>
      </c>
      <c r="N346" s="11" t="s">
        <v>26</v>
      </c>
      <c r="O346" s="9" t="s">
        <v>27</v>
      </c>
      <c r="P346" s="15">
        <f t="shared" si="5"/>
        <v>0</v>
      </c>
      <c r="Q346" s="16">
        <f t="shared" si="2"/>
        <v>0</v>
      </c>
      <c r="R346" s="6"/>
      <c r="S346" s="6"/>
      <c r="T346" s="6"/>
      <c r="U346" s="6"/>
      <c r="V346" s="6"/>
      <c r="W346" s="6"/>
      <c r="X346" s="6"/>
      <c r="Y346" s="6"/>
    </row>
    <row r="347" ht="31.5" customHeight="1">
      <c r="A347" s="17">
        <v>345.0</v>
      </c>
      <c r="B347" s="10" t="s">
        <v>1059</v>
      </c>
      <c r="C347" s="11" t="s">
        <v>1060</v>
      </c>
      <c r="D347" s="12" t="s">
        <v>1061</v>
      </c>
      <c r="E347" s="12"/>
      <c r="F347" s="12">
        <v>2020.0</v>
      </c>
      <c r="G347" s="14" t="s">
        <v>21</v>
      </c>
      <c r="H347" s="9"/>
      <c r="I347" s="11" t="s">
        <v>204</v>
      </c>
      <c r="J347" s="17"/>
      <c r="K347" s="9" t="s">
        <v>23</v>
      </c>
      <c r="L347" s="9" t="s">
        <v>24</v>
      </c>
      <c r="M347" s="11" t="s">
        <v>25</v>
      </c>
      <c r="N347" s="11" t="s">
        <v>26</v>
      </c>
      <c r="O347" s="9" t="s">
        <v>27</v>
      </c>
      <c r="P347" s="15">
        <f t="shared" si="5"/>
        <v>0</v>
      </c>
      <c r="Q347" s="16">
        <f t="shared" si="2"/>
        <v>0</v>
      </c>
      <c r="R347" s="6"/>
      <c r="S347" s="6"/>
      <c r="T347" s="6"/>
      <c r="U347" s="6"/>
      <c r="V347" s="6"/>
      <c r="W347" s="6"/>
      <c r="X347" s="6"/>
      <c r="Y347" s="6"/>
    </row>
    <row r="348" ht="31.5" customHeight="1">
      <c r="A348" s="17">
        <v>346.0</v>
      </c>
      <c r="B348" s="10" t="s">
        <v>1062</v>
      </c>
      <c r="C348" s="11" t="s">
        <v>1063</v>
      </c>
      <c r="D348" s="12" t="s">
        <v>1064</v>
      </c>
      <c r="E348" s="12"/>
      <c r="F348" s="12">
        <v>2020.0</v>
      </c>
      <c r="G348" s="14" t="s">
        <v>21</v>
      </c>
      <c r="H348" s="9"/>
      <c r="I348" s="11" t="s">
        <v>204</v>
      </c>
      <c r="J348" s="17"/>
      <c r="K348" s="9" t="s">
        <v>23</v>
      </c>
      <c r="L348" s="9" t="s">
        <v>24</v>
      </c>
      <c r="M348" s="11" t="s">
        <v>25</v>
      </c>
      <c r="N348" s="11" t="s">
        <v>26</v>
      </c>
      <c r="O348" s="9" t="s">
        <v>27</v>
      </c>
      <c r="P348" s="15">
        <f t="shared" si="5"/>
        <v>0</v>
      </c>
      <c r="Q348" s="16">
        <f t="shared" si="2"/>
        <v>0</v>
      </c>
      <c r="R348" s="6"/>
      <c r="S348" s="6"/>
      <c r="T348" s="6"/>
      <c r="U348" s="6"/>
      <c r="V348" s="6"/>
      <c r="W348" s="6"/>
      <c r="X348" s="6"/>
      <c r="Y348" s="6"/>
    </row>
    <row r="349" ht="31.5" customHeight="1">
      <c r="A349" s="17">
        <v>347.0</v>
      </c>
      <c r="B349" s="10" t="s">
        <v>1065</v>
      </c>
      <c r="C349" s="11" t="s">
        <v>1038</v>
      </c>
      <c r="D349" s="12" t="s">
        <v>1066</v>
      </c>
      <c r="E349" s="12"/>
      <c r="F349" s="12">
        <v>2020.0</v>
      </c>
      <c r="G349" s="14" t="s">
        <v>21</v>
      </c>
      <c r="H349" s="9"/>
      <c r="I349" s="11" t="s">
        <v>204</v>
      </c>
      <c r="J349" s="17"/>
      <c r="K349" s="9" t="s">
        <v>23</v>
      </c>
      <c r="L349" s="9" t="s">
        <v>24</v>
      </c>
      <c r="M349" s="11" t="s">
        <v>25</v>
      </c>
      <c r="N349" s="11" t="s">
        <v>26</v>
      </c>
      <c r="O349" s="9" t="s">
        <v>27</v>
      </c>
      <c r="P349" s="15">
        <f t="shared" si="5"/>
        <v>0</v>
      </c>
      <c r="Q349" s="16">
        <f t="shared" si="2"/>
        <v>0</v>
      </c>
      <c r="R349" s="6"/>
      <c r="S349" s="6"/>
      <c r="T349" s="6"/>
      <c r="U349" s="6"/>
      <c r="V349" s="6"/>
      <c r="W349" s="6"/>
      <c r="X349" s="6"/>
      <c r="Y349" s="6"/>
    </row>
    <row r="350" ht="31.5" customHeight="1">
      <c r="A350" s="17">
        <v>348.0</v>
      </c>
      <c r="B350" s="10" t="s">
        <v>1067</v>
      </c>
      <c r="C350" s="11" t="s">
        <v>1068</v>
      </c>
      <c r="D350" s="12" t="s">
        <v>1069</v>
      </c>
      <c r="E350" s="12"/>
      <c r="F350" s="12">
        <v>2020.0</v>
      </c>
      <c r="G350" s="14" t="s">
        <v>21</v>
      </c>
      <c r="H350" s="9"/>
      <c r="I350" s="11" t="s">
        <v>204</v>
      </c>
      <c r="J350" s="17"/>
      <c r="K350" s="9" t="s">
        <v>23</v>
      </c>
      <c r="L350" s="9" t="s">
        <v>24</v>
      </c>
      <c r="M350" s="11" t="s">
        <v>25</v>
      </c>
      <c r="N350" s="11" t="s">
        <v>26</v>
      </c>
      <c r="O350" s="9" t="s">
        <v>27</v>
      </c>
      <c r="P350" s="15">
        <f t="shared" si="5"/>
        <v>0</v>
      </c>
      <c r="Q350" s="16">
        <f t="shared" si="2"/>
        <v>0</v>
      </c>
      <c r="R350" s="6"/>
      <c r="S350" s="6"/>
      <c r="T350" s="6"/>
      <c r="U350" s="6"/>
      <c r="V350" s="6"/>
      <c r="W350" s="6"/>
      <c r="X350" s="6"/>
      <c r="Y350" s="6"/>
    </row>
    <row r="351" ht="31.5" customHeight="1">
      <c r="A351" s="17">
        <v>349.0</v>
      </c>
      <c r="B351" s="10" t="s">
        <v>1070</v>
      </c>
      <c r="C351" s="11" t="s">
        <v>113</v>
      </c>
      <c r="D351" s="12" t="s">
        <v>1071</v>
      </c>
      <c r="E351" s="13" t="s">
        <v>115</v>
      </c>
      <c r="F351" s="12">
        <v>2020.0</v>
      </c>
      <c r="G351" s="14" t="s">
        <v>21</v>
      </c>
      <c r="H351" s="9"/>
      <c r="I351" s="11" t="s">
        <v>204</v>
      </c>
      <c r="J351" s="17"/>
      <c r="K351" s="9" t="s">
        <v>23</v>
      </c>
      <c r="L351" s="9" t="s">
        <v>24</v>
      </c>
      <c r="M351" s="11" t="s">
        <v>25</v>
      </c>
      <c r="N351" s="11" t="s">
        <v>26</v>
      </c>
      <c r="O351" s="9" t="s">
        <v>27</v>
      </c>
      <c r="P351" s="15">
        <f t="shared" si="5"/>
        <v>0</v>
      </c>
      <c r="Q351" s="16">
        <f t="shared" si="2"/>
        <v>0</v>
      </c>
      <c r="R351" s="6"/>
      <c r="S351" s="6"/>
      <c r="T351" s="6"/>
      <c r="U351" s="6"/>
      <c r="V351" s="6"/>
      <c r="W351" s="6"/>
      <c r="X351" s="6"/>
      <c r="Y351" s="6"/>
    </row>
    <row r="352" ht="31.5" customHeight="1">
      <c r="A352" s="17">
        <v>350.0</v>
      </c>
      <c r="B352" s="10" t="s">
        <v>1072</v>
      </c>
      <c r="C352" s="11" t="s">
        <v>1073</v>
      </c>
      <c r="D352" s="12" t="s">
        <v>1074</v>
      </c>
      <c r="E352" s="12"/>
      <c r="F352" s="12">
        <v>2020.0</v>
      </c>
      <c r="G352" s="14" t="s">
        <v>21</v>
      </c>
      <c r="H352" s="9"/>
      <c r="I352" s="11" t="s">
        <v>204</v>
      </c>
      <c r="J352" s="17"/>
      <c r="K352" s="9" t="s">
        <v>23</v>
      </c>
      <c r="L352" s="9" t="s">
        <v>24</v>
      </c>
      <c r="M352" s="11" t="s">
        <v>25</v>
      </c>
      <c r="N352" s="11" t="s">
        <v>26</v>
      </c>
      <c r="O352" s="9" t="s">
        <v>27</v>
      </c>
      <c r="P352" s="15">
        <f t="shared" si="5"/>
        <v>0</v>
      </c>
      <c r="Q352" s="16">
        <f t="shared" si="2"/>
        <v>0</v>
      </c>
      <c r="R352" s="6"/>
      <c r="S352" s="6"/>
      <c r="T352" s="6"/>
      <c r="U352" s="6"/>
      <c r="V352" s="6"/>
      <c r="W352" s="6"/>
      <c r="X352" s="6"/>
      <c r="Y352" s="6"/>
    </row>
    <row r="353" ht="31.5" customHeight="1">
      <c r="A353" s="17">
        <v>351.0</v>
      </c>
      <c r="B353" s="10" t="s">
        <v>1075</v>
      </c>
      <c r="C353" s="11" t="s">
        <v>1076</v>
      </c>
      <c r="D353" s="12" t="s">
        <v>1077</v>
      </c>
      <c r="E353" s="12"/>
      <c r="F353" s="12">
        <v>2020.0</v>
      </c>
      <c r="G353" s="14" t="s">
        <v>21</v>
      </c>
      <c r="H353" s="9"/>
      <c r="I353" s="11" t="s">
        <v>204</v>
      </c>
      <c r="J353" s="17"/>
      <c r="K353" s="9" t="s">
        <v>23</v>
      </c>
      <c r="L353" s="9" t="s">
        <v>24</v>
      </c>
      <c r="M353" s="11" t="s">
        <v>25</v>
      </c>
      <c r="N353" s="11" t="s">
        <v>26</v>
      </c>
      <c r="O353" s="9" t="s">
        <v>27</v>
      </c>
      <c r="P353" s="15">
        <f t="shared" si="5"/>
        <v>0</v>
      </c>
      <c r="Q353" s="16">
        <f t="shared" si="2"/>
        <v>0</v>
      </c>
      <c r="R353" s="6"/>
      <c r="S353" s="6"/>
      <c r="T353" s="6"/>
      <c r="U353" s="6"/>
      <c r="V353" s="6"/>
      <c r="W353" s="6"/>
      <c r="X353" s="6"/>
      <c r="Y353" s="6"/>
    </row>
    <row r="354" ht="31.5" customHeight="1">
      <c r="A354" s="17">
        <v>352.0</v>
      </c>
      <c r="B354" s="10" t="s">
        <v>1078</v>
      </c>
      <c r="C354" s="11" t="s">
        <v>113</v>
      </c>
      <c r="D354" s="12" t="s">
        <v>1079</v>
      </c>
      <c r="E354" s="13" t="s">
        <v>115</v>
      </c>
      <c r="F354" s="12">
        <v>2020.0</v>
      </c>
      <c r="G354" s="14" t="s">
        <v>21</v>
      </c>
      <c r="H354" s="9"/>
      <c r="I354" s="11" t="s">
        <v>204</v>
      </c>
      <c r="J354" s="17"/>
      <c r="K354" s="9" t="s">
        <v>23</v>
      </c>
      <c r="L354" s="9" t="s">
        <v>24</v>
      </c>
      <c r="M354" s="11" t="s">
        <v>25</v>
      </c>
      <c r="N354" s="11" t="s">
        <v>26</v>
      </c>
      <c r="O354" s="9" t="s">
        <v>27</v>
      </c>
      <c r="P354" s="15">
        <f t="shared" si="5"/>
        <v>0</v>
      </c>
      <c r="Q354" s="16">
        <f t="shared" si="2"/>
        <v>0</v>
      </c>
      <c r="R354" s="6"/>
      <c r="S354" s="6"/>
      <c r="T354" s="6"/>
      <c r="U354" s="6"/>
      <c r="V354" s="6"/>
      <c r="W354" s="6"/>
      <c r="X354" s="6"/>
      <c r="Y354" s="6"/>
    </row>
    <row r="355" ht="31.5" customHeight="1">
      <c r="A355" s="17">
        <v>353.0</v>
      </c>
      <c r="B355" s="10" t="s">
        <v>1080</v>
      </c>
      <c r="C355" s="11" t="s">
        <v>1081</v>
      </c>
      <c r="D355" s="12" t="s">
        <v>1082</v>
      </c>
      <c r="E355" s="12"/>
      <c r="F355" s="12">
        <v>2020.0</v>
      </c>
      <c r="G355" s="14" t="s">
        <v>21</v>
      </c>
      <c r="H355" s="9"/>
      <c r="I355" s="11" t="s">
        <v>204</v>
      </c>
      <c r="J355" s="17"/>
      <c r="K355" s="9" t="s">
        <v>23</v>
      </c>
      <c r="L355" s="9" t="s">
        <v>24</v>
      </c>
      <c r="M355" s="11" t="s">
        <v>25</v>
      </c>
      <c r="N355" s="11" t="s">
        <v>26</v>
      </c>
      <c r="O355" s="9" t="s">
        <v>27</v>
      </c>
      <c r="P355" s="15">
        <f t="shared" si="5"/>
        <v>0</v>
      </c>
      <c r="Q355" s="16">
        <f t="shared" si="2"/>
        <v>0</v>
      </c>
      <c r="R355" s="6"/>
      <c r="S355" s="6"/>
      <c r="T355" s="6"/>
      <c r="U355" s="6"/>
      <c r="V355" s="6"/>
      <c r="W355" s="6"/>
      <c r="X355" s="6"/>
      <c r="Y355" s="6"/>
    </row>
    <row r="356" ht="31.5" customHeight="1">
      <c r="A356" s="17">
        <v>354.0</v>
      </c>
      <c r="B356" s="10" t="s">
        <v>1083</v>
      </c>
      <c r="C356" s="11" t="s">
        <v>1084</v>
      </c>
      <c r="D356" s="12" t="s">
        <v>1085</v>
      </c>
      <c r="E356" s="12"/>
      <c r="F356" s="12">
        <v>2020.0</v>
      </c>
      <c r="G356" s="14" t="s">
        <v>21</v>
      </c>
      <c r="H356" s="9"/>
      <c r="I356" s="11" t="s">
        <v>204</v>
      </c>
      <c r="J356" s="17"/>
      <c r="K356" s="9" t="s">
        <v>23</v>
      </c>
      <c r="L356" s="9" t="s">
        <v>24</v>
      </c>
      <c r="M356" s="11" t="s">
        <v>25</v>
      </c>
      <c r="N356" s="11" t="s">
        <v>26</v>
      </c>
      <c r="O356" s="9" t="s">
        <v>27</v>
      </c>
      <c r="P356" s="15">
        <f t="shared" si="5"/>
        <v>0</v>
      </c>
      <c r="Q356" s="16">
        <f t="shared" si="2"/>
        <v>0</v>
      </c>
      <c r="R356" s="6"/>
      <c r="S356" s="6"/>
      <c r="T356" s="6"/>
      <c r="U356" s="6"/>
      <c r="V356" s="6"/>
      <c r="W356" s="6"/>
      <c r="X356" s="6"/>
      <c r="Y356" s="6"/>
    </row>
    <row r="357" ht="31.5" customHeight="1">
      <c r="A357" s="17">
        <v>355.0</v>
      </c>
      <c r="B357" s="10" t="s">
        <v>1086</v>
      </c>
      <c r="C357" s="11" t="s">
        <v>1087</v>
      </c>
      <c r="D357" s="12" t="s">
        <v>1088</v>
      </c>
      <c r="E357" s="12"/>
      <c r="F357" s="12">
        <v>2020.0</v>
      </c>
      <c r="G357" s="14" t="s">
        <v>21</v>
      </c>
      <c r="H357" s="9"/>
      <c r="I357" s="11" t="s">
        <v>204</v>
      </c>
      <c r="J357" s="17"/>
      <c r="K357" s="9" t="s">
        <v>23</v>
      </c>
      <c r="L357" s="9" t="s">
        <v>24</v>
      </c>
      <c r="M357" s="11" t="s">
        <v>25</v>
      </c>
      <c r="N357" s="11" t="s">
        <v>26</v>
      </c>
      <c r="O357" s="9" t="s">
        <v>27</v>
      </c>
      <c r="P357" s="15">
        <f t="shared" si="5"/>
        <v>0</v>
      </c>
      <c r="Q357" s="16">
        <f t="shared" si="2"/>
        <v>0</v>
      </c>
      <c r="R357" s="6"/>
      <c r="S357" s="6"/>
      <c r="T357" s="6"/>
      <c r="U357" s="6"/>
      <c r="V357" s="6"/>
      <c r="W357" s="6"/>
      <c r="X357" s="6"/>
      <c r="Y357" s="6"/>
    </row>
    <row r="358" ht="31.5" customHeight="1">
      <c r="A358" s="17">
        <v>356.0</v>
      </c>
      <c r="B358" s="10" t="s">
        <v>1089</v>
      </c>
      <c r="C358" s="11" t="s">
        <v>1090</v>
      </c>
      <c r="D358" s="12" t="s">
        <v>1091</v>
      </c>
      <c r="E358" s="12"/>
      <c r="F358" s="12">
        <v>2020.0</v>
      </c>
      <c r="G358" s="14" t="s">
        <v>21</v>
      </c>
      <c r="H358" s="9"/>
      <c r="I358" s="11" t="s">
        <v>204</v>
      </c>
      <c r="J358" s="17"/>
      <c r="K358" s="9" t="s">
        <v>23</v>
      </c>
      <c r="L358" s="9" t="s">
        <v>24</v>
      </c>
      <c r="M358" s="11" t="s">
        <v>25</v>
      </c>
      <c r="N358" s="11" t="s">
        <v>26</v>
      </c>
      <c r="O358" s="9" t="s">
        <v>27</v>
      </c>
      <c r="P358" s="15">
        <f t="shared" si="5"/>
        <v>0</v>
      </c>
      <c r="Q358" s="16">
        <f t="shared" si="2"/>
        <v>0</v>
      </c>
      <c r="R358" s="6"/>
      <c r="S358" s="6"/>
      <c r="T358" s="6"/>
      <c r="U358" s="6"/>
      <c r="V358" s="6"/>
      <c r="W358" s="6"/>
      <c r="X358" s="6"/>
      <c r="Y358" s="6"/>
    </row>
    <row r="359" ht="31.5" customHeight="1">
      <c r="A359" s="17">
        <v>357.0</v>
      </c>
      <c r="B359" s="10" t="s">
        <v>1092</v>
      </c>
      <c r="C359" s="11" t="s">
        <v>1093</v>
      </c>
      <c r="D359" s="12" t="s">
        <v>1094</v>
      </c>
      <c r="E359" s="12"/>
      <c r="F359" s="12">
        <v>2020.0</v>
      </c>
      <c r="G359" s="14" t="s">
        <v>21</v>
      </c>
      <c r="H359" s="9"/>
      <c r="I359" s="11" t="s">
        <v>204</v>
      </c>
      <c r="J359" s="17"/>
      <c r="K359" s="9" t="s">
        <v>23</v>
      </c>
      <c r="L359" s="9" t="s">
        <v>24</v>
      </c>
      <c r="M359" s="11" t="s">
        <v>25</v>
      </c>
      <c r="N359" s="11" t="s">
        <v>26</v>
      </c>
      <c r="O359" s="9" t="s">
        <v>27</v>
      </c>
      <c r="P359" s="15">
        <f t="shared" si="5"/>
        <v>0</v>
      </c>
      <c r="Q359" s="16">
        <f t="shared" si="2"/>
        <v>0</v>
      </c>
      <c r="R359" s="6"/>
      <c r="S359" s="6"/>
      <c r="T359" s="6"/>
      <c r="U359" s="6"/>
      <c r="V359" s="6"/>
      <c r="W359" s="6"/>
      <c r="X359" s="6"/>
      <c r="Y359" s="6"/>
    </row>
    <row r="360" ht="31.5" customHeight="1">
      <c r="A360" s="17">
        <v>358.0</v>
      </c>
      <c r="B360" s="10" t="s">
        <v>1095</v>
      </c>
      <c r="C360" s="11" t="s">
        <v>638</v>
      </c>
      <c r="D360" s="12" t="s">
        <v>1096</v>
      </c>
      <c r="E360" s="13" t="s">
        <v>115</v>
      </c>
      <c r="F360" s="12">
        <v>2020.0</v>
      </c>
      <c r="G360" s="14" t="s">
        <v>21</v>
      </c>
      <c r="H360" s="9"/>
      <c r="I360" s="11" t="s">
        <v>204</v>
      </c>
      <c r="J360" s="17"/>
      <c r="K360" s="9" t="s">
        <v>23</v>
      </c>
      <c r="L360" s="9" t="s">
        <v>24</v>
      </c>
      <c r="M360" s="11" t="s">
        <v>25</v>
      </c>
      <c r="N360" s="11" t="s">
        <v>26</v>
      </c>
      <c r="O360" s="9" t="s">
        <v>27</v>
      </c>
      <c r="P360" s="15">
        <f t="shared" si="5"/>
        <v>0</v>
      </c>
      <c r="Q360" s="16">
        <f t="shared" si="2"/>
        <v>0</v>
      </c>
      <c r="R360" s="6"/>
      <c r="S360" s="6"/>
      <c r="T360" s="6"/>
      <c r="U360" s="6"/>
      <c r="V360" s="6"/>
      <c r="W360" s="6"/>
      <c r="X360" s="6"/>
      <c r="Y360" s="6"/>
    </row>
    <row r="361" ht="31.5" customHeight="1">
      <c r="A361" s="17">
        <v>359.0</v>
      </c>
      <c r="B361" s="10" t="s">
        <v>1097</v>
      </c>
      <c r="C361" s="11" t="s">
        <v>1098</v>
      </c>
      <c r="D361" s="12" t="s">
        <v>1099</v>
      </c>
      <c r="E361" s="12"/>
      <c r="F361" s="12">
        <v>2020.0</v>
      </c>
      <c r="G361" s="14" t="s">
        <v>21</v>
      </c>
      <c r="H361" s="9"/>
      <c r="I361" s="11" t="s">
        <v>204</v>
      </c>
      <c r="J361" s="17"/>
      <c r="K361" s="9" t="s">
        <v>23</v>
      </c>
      <c r="L361" s="9" t="s">
        <v>24</v>
      </c>
      <c r="M361" s="11" t="s">
        <v>25</v>
      </c>
      <c r="N361" s="11" t="s">
        <v>26</v>
      </c>
      <c r="O361" s="9" t="s">
        <v>27</v>
      </c>
      <c r="P361" s="15">
        <f t="shared" si="5"/>
        <v>0</v>
      </c>
      <c r="Q361" s="16">
        <f t="shared" si="2"/>
        <v>0</v>
      </c>
      <c r="R361" s="6"/>
      <c r="S361" s="6"/>
      <c r="T361" s="6"/>
      <c r="U361" s="6"/>
      <c r="V361" s="6"/>
      <c r="W361" s="6"/>
      <c r="X361" s="6"/>
      <c r="Y361" s="6"/>
    </row>
    <row r="362" ht="31.5" customHeight="1">
      <c r="A362" s="17">
        <v>360.0</v>
      </c>
      <c r="B362" s="10" t="s">
        <v>1100</v>
      </c>
      <c r="C362" s="11" t="s">
        <v>1101</v>
      </c>
      <c r="D362" s="12" t="s">
        <v>1102</v>
      </c>
      <c r="E362" s="12"/>
      <c r="F362" s="12">
        <v>2020.0</v>
      </c>
      <c r="G362" s="14" t="s">
        <v>21</v>
      </c>
      <c r="H362" s="9"/>
      <c r="I362" s="11" t="s">
        <v>204</v>
      </c>
      <c r="J362" s="17"/>
      <c r="K362" s="9" t="s">
        <v>23</v>
      </c>
      <c r="L362" s="9" t="s">
        <v>24</v>
      </c>
      <c r="M362" s="11" t="s">
        <v>25</v>
      </c>
      <c r="N362" s="11" t="s">
        <v>26</v>
      </c>
      <c r="O362" s="9" t="s">
        <v>27</v>
      </c>
      <c r="P362" s="15">
        <f t="shared" si="5"/>
        <v>0</v>
      </c>
      <c r="Q362" s="16">
        <f t="shared" si="2"/>
        <v>0</v>
      </c>
      <c r="R362" s="6"/>
      <c r="S362" s="6"/>
      <c r="T362" s="6"/>
      <c r="U362" s="6"/>
      <c r="V362" s="6"/>
      <c r="W362" s="6"/>
      <c r="X362" s="6"/>
      <c r="Y362" s="6"/>
    </row>
    <row r="363" ht="31.5" customHeight="1">
      <c r="A363" s="17">
        <v>361.0</v>
      </c>
      <c r="B363" s="10" t="s">
        <v>1103</v>
      </c>
      <c r="C363" s="11" t="s">
        <v>638</v>
      </c>
      <c r="D363" s="12" t="s">
        <v>1104</v>
      </c>
      <c r="E363" s="13" t="s">
        <v>115</v>
      </c>
      <c r="F363" s="12">
        <v>2020.0</v>
      </c>
      <c r="G363" s="14" t="s">
        <v>21</v>
      </c>
      <c r="H363" s="9"/>
      <c r="I363" s="11" t="s">
        <v>204</v>
      </c>
      <c r="J363" s="17"/>
      <c r="K363" s="9" t="s">
        <v>23</v>
      </c>
      <c r="L363" s="9" t="s">
        <v>24</v>
      </c>
      <c r="M363" s="11" t="s">
        <v>25</v>
      </c>
      <c r="N363" s="11" t="s">
        <v>26</v>
      </c>
      <c r="O363" s="9" t="s">
        <v>27</v>
      </c>
      <c r="P363" s="15">
        <f t="shared" si="5"/>
        <v>0</v>
      </c>
      <c r="Q363" s="16">
        <f t="shared" si="2"/>
        <v>0</v>
      </c>
      <c r="R363" s="6"/>
      <c r="S363" s="6"/>
      <c r="T363" s="6"/>
      <c r="U363" s="6"/>
      <c r="V363" s="6"/>
      <c r="W363" s="6"/>
      <c r="X363" s="6"/>
      <c r="Y363" s="6"/>
    </row>
    <row r="364" ht="31.5" customHeight="1">
      <c r="A364" s="17">
        <v>362.0</v>
      </c>
      <c r="B364" s="10" t="s">
        <v>1105</v>
      </c>
      <c r="C364" s="11" t="s">
        <v>1106</v>
      </c>
      <c r="D364" s="12" t="s">
        <v>1107</v>
      </c>
      <c r="E364" s="12"/>
      <c r="F364" s="12">
        <v>2020.0</v>
      </c>
      <c r="G364" s="14" t="s">
        <v>21</v>
      </c>
      <c r="H364" s="9"/>
      <c r="I364" s="11" t="s">
        <v>204</v>
      </c>
      <c r="J364" s="17"/>
      <c r="K364" s="9" t="s">
        <v>23</v>
      </c>
      <c r="L364" s="9" t="s">
        <v>24</v>
      </c>
      <c r="M364" s="11" t="s">
        <v>25</v>
      </c>
      <c r="N364" s="11" t="s">
        <v>26</v>
      </c>
      <c r="O364" s="9" t="s">
        <v>27</v>
      </c>
      <c r="P364" s="15">
        <f t="shared" si="5"/>
        <v>0</v>
      </c>
      <c r="Q364" s="16">
        <f t="shared" si="2"/>
        <v>0</v>
      </c>
      <c r="R364" s="6"/>
      <c r="S364" s="6"/>
      <c r="T364" s="6"/>
      <c r="U364" s="6"/>
      <c r="V364" s="6"/>
      <c r="W364" s="6"/>
      <c r="X364" s="6"/>
      <c r="Y364" s="6"/>
    </row>
    <row r="365" ht="31.5" customHeight="1">
      <c r="A365" s="17">
        <v>363.0</v>
      </c>
      <c r="B365" s="10" t="s">
        <v>1108</v>
      </c>
      <c r="C365" s="11" t="s">
        <v>638</v>
      </c>
      <c r="D365" s="12" t="s">
        <v>1109</v>
      </c>
      <c r="E365" s="13" t="s">
        <v>115</v>
      </c>
      <c r="F365" s="12">
        <v>2020.0</v>
      </c>
      <c r="G365" s="14" t="s">
        <v>21</v>
      </c>
      <c r="H365" s="9"/>
      <c r="I365" s="11" t="s">
        <v>204</v>
      </c>
      <c r="J365" s="17"/>
      <c r="K365" s="9" t="s">
        <v>23</v>
      </c>
      <c r="L365" s="9" t="s">
        <v>24</v>
      </c>
      <c r="M365" s="11" t="s">
        <v>25</v>
      </c>
      <c r="N365" s="11" t="s">
        <v>26</v>
      </c>
      <c r="O365" s="9" t="s">
        <v>27</v>
      </c>
      <c r="P365" s="15">
        <f t="shared" si="5"/>
        <v>0</v>
      </c>
      <c r="Q365" s="16">
        <f t="shared" si="2"/>
        <v>0</v>
      </c>
      <c r="R365" s="6"/>
      <c r="S365" s="6"/>
      <c r="T365" s="6"/>
      <c r="U365" s="6"/>
      <c r="V365" s="6"/>
      <c r="W365" s="6"/>
      <c r="X365" s="6"/>
      <c r="Y365" s="6"/>
    </row>
    <row r="366" ht="31.5" customHeight="1">
      <c r="A366" s="17">
        <v>364.0</v>
      </c>
      <c r="B366" s="10" t="s">
        <v>1110</v>
      </c>
      <c r="C366" s="11" t="s">
        <v>1111</v>
      </c>
      <c r="D366" s="12" t="s">
        <v>1112</v>
      </c>
      <c r="E366" s="12"/>
      <c r="F366" s="12">
        <v>2020.0</v>
      </c>
      <c r="G366" s="14" t="s">
        <v>21</v>
      </c>
      <c r="H366" s="9"/>
      <c r="I366" s="11" t="s">
        <v>204</v>
      </c>
      <c r="J366" s="17"/>
      <c r="K366" s="9" t="s">
        <v>23</v>
      </c>
      <c r="L366" s="9" t="s">
        <v>24</v>
      </c>
      <c r="M366" s="11" t="s">
        <v>25</v>
      </c>
      <c r="N366" s="11" t="s">
        <v>26</v>
      </c>
      <c r="O366" s="9" t="s">
        <v>27</v>
      </c>
      <c r="P366" s="15">
        <f t="shared" si="5"/>
        <v>0</v>
      </c>
      <c r="Q366" s="16">
        <f t="shared" si="2"/>
        <v>0</v>
      </c>
      <c r="R366" s="6"/>
      <c r="S366" s="6"/>
      <c r="T366" s="6"/>
      <c r="U366" s="6"/>
      <c r="V366" s="6"/>
      <c r="W366" s="6"/>
      <c r="X366" s="6"/>
      <c r="Y366" s="6"/>
    </row>
    <row r="367" ht="31.5" customHeight="1">
      <c r="A367" s="17">
        <v>365.0</v>
      </c>
      <c r="B367" s="10" t="s">
        <v>1113</v>
      </c>
      <c r="C367" s="11" t="s">
        <v>1111</v>
      </c>
      <c r="D367" s="12" t="s">
        <v>1114</v>
      </c>
      <c r="E367" s="12"/>
      <c r="F367" s="12">
        <v>2020.0</v>
      </c>
      <c r="G367" s="14" t="s">
        <v>21</v>
      </c>
      <c r="H367" s="9"/>
      <c r="I367" s="11" t="s">
        <v>204</v>
      </c>
      <c r="J367" s="17"/>
      <c r="K367" s="9" t="s">
        <v>23</v>
      </c>
      <c r="L367" s="9" t="s">
        <v>24</v>
      </c>
      <c r="M367" s="11" t="s">
        <v>25</v>
      </c>
      <c r="N367" s="11" t="s">
        <v>26</v>
      </c>
      <c r="O367" s="9" t="s">
        <v>27</v>
      </c>
      <c r="P367" s="15">
        <f t="shared" si="5"/>
        <v>0</v>
      </c>
      <c r="Q367" s="16">
        <f t="shared" si="2"/>
        <v>0</v>
      </c>
      <c r="R367" s="6"/>
      <c r="S367" s="6"/>
      <c r="T367" s="6"/>
      <c r="U367" s="6"/>
      <c r="V367" s="6"/>
      <c r="W367" s="6"/>
      <c r="X367" s="6"/>
      <c r="Y367" s="6"/>
    </row>
    <row r="368" ht="31.5" customHeight="1">
      <c r="A368" s="17">
        <v>366.0</v>
      </c>
      <c r="B368" s="10" t="s">
        <v>1115</v>
      </c>
      <c r="C368" s="11" t="s">
        <v>1116</v>
      </c>
      <c r="D368" s="12" t="s">
        <v>1117</v>
      </c>
      <c r="E368" s="12"/>
      <c r="F368" s="12">
        <v>2020.0</v>
      </c>
      <c r="G368" s="14" t="s">
        <v>21</v>
      </c>
      <c r="H368" s="9"/>
      <c r="I368" s="11" t="s">
        <v>204</v>
      </c>
      <c r="J368" s="17"/>
      <c r="K368" s="9" t="s">
        <v>23</v>
      </c>
      <c r="L368" s="9" t="s">
        <v>24</v>
      </c>
      <c r="M368" s="11" t="s">
        <v>25</v>
      </c>
      <c r="N368" s="11" t="s">
        <v>26</v>
      </c>
      <c r="O368" s="9" t="s">
        <v>27</v>
      </c>
      <c r="P368" s="15">
        <f t="shared" si="5"/>
        <v>0</v>
      </c>
      <c r="Q368" s="16">
        <f t="shared" si="2"/>
        <v>0</v>
      </c>
      <c r="R368" s="6"/>
      <c r="S368" s="6"/>
      <c r="T368" s="6"/>
      <c r="U368" s="6"/>
      <c r="V368" s="6"/>
      <c r="W368" s="6"/>
      <c r="X368" s="6"/>
      <c r="Y368" s="6"/>
    </row>
    <row r="369" ht="31.5" customHeight="1">
      <c r="A369" s="17">
        <v>367.0</v>
      </c>
      <c r="B369" s="10" t="s">
        <v>1118</v>
      </c>
      <c r="C369" s="11" t="s">
        <v>1106</v>
      </c>
      <c r="D369" s="12" t="s">
        <v>1119</v>
      </c>
      <c r="E369" s="12"/>
      <c r="F369" s="12">
        <v>2020.0</v>
      </c>
      <c r="G369" s="14" t="s">
        <v>21</v>
      </c>
      <c r="H369" s="9"/>
      <c r="I369" s="11" t="s">
        <v>204</v>
      </c>
      <c r="J369" s="17"/>
      <c r="K369" s="9" t="s">
        <v>23</v>
      </c>
      <c r="L369" s="9" t="s">
        <v>24</v>
      </c>
      <c r="M369" s="11" t="s">
        <v>25</v>
      </c>
      <c r="N369" s="11" t="s">
        <v>26</v>
      </c>
      <c r="O369" s="9" t="s">
        <v>27</v>
      </c>
      <c r="P369" s="15">
        <f t="shared" si="5"/>
        <v>0</v>
      </c>
      <c r="Q369" s="16">
        <f t="shared" si="2"/>
        <v>0</v>
      </c>
      <c r="R369" s="6"/>
      <c r="S369" s="6"/>
      <c r="T369" s="6"/>
      <c r="U369" s="6"/>
      <c r="V369" s="6"/>
      <c r="W369" s="6"/>
      <c r="X369" s="6"/>
      <c r="Y369" s="6"/>
    </row>
    <row r="370" ht="31.5" customHeight="1">
      <c r="A370" s="17">
        <v>368.0</v>
      </c>
      <c r="B370" s="10" t="s">
        <v>1120</v>
      </c>
      <c r="C370" s="11" t="s">
        <v>1121</v>
      </c>
      <c r="D370" s="12" t="s">
        <v>1122</v>
      </c>
      <c r="E370" s="12"/>
      <c r="F370" s="12">
        <v>2020.0</v>
      </c>
      <c r="G370" s="14" t="s">
        <v>21</v>
      </c>
      <c r="H370" s="9"/>
      <c r="I370" s="11" t="s">
        <v>204</v>
      </c>
      <c r="J370" s="17"/>
      <c r="K370" s="9" t="s">
        <v>23</v>
      </c>
      <c r="L370" s="9" t="s">
        <v>24</v>
      </c>
      <c r="M370" s="11" t="s">
        <v>25</v>
      </c>
      <c r="N370" s="11" t="s">
        <v>26</v>
      </c>
      <c r="O370" s="9" t="s">
        <v>27</v>
      </c>
      <c r="P370" s="15">
        <f t="shared" si="5"/>
        <v>0</v>
      </c>
      <c r="Q370" s="16">
        <f t="shared" si="2"/>
        <v>0</v>
      </c>
      <c r="R370" s="6"/>
      <c r="S370" s="6"/>
      <c r="T370" s="6"/>
      <c r="U370" s="6"/>
      <c r="V370" s="6"/>
      <c r="W370" s="6"/>
      <c r="X370" s="6"/>
      <c r="Y370" s="6"/>
    </row>
    <row r="371" ht="31.5" customHeight="1">
      <c r="A371" s="17">
        <v>369.0</v>
      </c>
      <c r="B371" s="10" t="s">
        <v>1123</v>
      </c>
      <c r="C371" s="11" t="s">
        <v>1124</v>
      </c>
      <c r="D371" s="12" t="s">
        <v>1125</v>
      </c>
      <c r="E371" s="12"/>
      <c r="F371" s="12">
        <v>2020.0</v>
      </c>
      <c r="G371" s="14" t="s">
        <v>21</v>
      </c>
      <c r="H371" s="9"/>
      <c r="I371" s="11" t="s">
        <v>204</v>
      </c>
      <c r="J371" s="17"/>
      <c r="K371" s="9" t="s">
        <v>23</v>
      </c>
      <c r="L371" s="9" t="s">
        <v>24</v>
      </c>
      <c r="M371" s="11" t="s">
        <v>25</v>
      </c>
      <c r="N371" s="11" t="s">
        <v>26</v>
      </c>
      <c r="O371" s="9" t="s">
        <v>27</v>
      </c>
      <c r="P371" s="15">
        <f t="shared" si="5"/>
        <v>0</v>
      </c>
      <c r="Q371" s="16">
        <f t="shared" si="2"/>
        <v>0</v>
      </c>
      <c r="R371" s="6"/>
      <c r="S371" s="6"/>
      <c r="T371" s="6"/>
      <c r="U371" s="6"/>
      <c r="V371" s="6"/>
      <c r="W371" s="6"/>
      <c r="X371" s="6"/>
      <c r="Y371" s="6"/>
    </row>
    <row r="372" ht="31.5" customHeight="1">
      <c r="A372" s="17">
        <v>370.0</v>
      </c>
      <c r="B372" s="10" t="s">
        <v>1126</v>
      </c>
      <c r="C372" s="11" t="s">
        <v>638</v>
      </c>
      <c r="D372" s="12" t="s">
        <v>1127</v>
      </c>
      <c r="E372" s="13" t="s">
        <v>1128</v>
      </c>
      <c r="F372" s="12">
        <v>2020.0</v>
      </c>
      <c r="G372" s="14" t="s">
        <v>21</v>
      </c>
      <c r="H372" s="9"/>
      <c r="I372" s="11" t="s">
        <v>204</v>
      </c>
      <c r="J372" s="17"/>
      <c r="K372" s="9" t="s">
        <v>23</v>
      </c>
      <c r="L372" s="9" t="s">
        <v>24</v>
      </c>
      <c r="M372" s="11" t="s">
        <v>25</v>
      </c>
      <c r="N372" s="11" t="s">
        <v>26</v>
      </c>
      <c r="O372" s="9" t="s">
        <v>27</v>
      </c>
      <c r="P372" s="15">
        <f t="shared" si="5"/>
        <v>0</v>
      </c>
      <c r="Q372" s="16">
        <f t="shared" si="2"/>
        <v>0</v>
      </c>
      <c r="R372" s="6"/>
      <c r="S372" s="6"/>
      <c r="T372" s="6"/>
      <c r="U372" s="6"/>
      <c r="V372" s="6"/>
      <c r="W372" s="6"/>
      <c r="X372" s="6"/>
      <c r="Y372" s="6"/>
    </row>
    <row r="373" ht="31.5" customHeight="1">
      <c r="A373" s="17">
        <v>371.0</v>
      </c>
      <c r="B373" s="10" t="s">
        <v>1129</v>
      </c>
      <c r="C373" s="11" t="s">
        <v>1130</v>
      </c>
      <c r="D373" s="12" t="s">
        <v>1131</v>
      </c>
      <c r="E373" s="12"/>
      <c r="F373" s="12">
        <v>2020.0</v>
      </c>
      <c r="G373" s="14" t="s">
        <v>21</v>
      </c>
      <c r="H373" s="9"/>
      <c r="I373" s="11" t="s">
        <v>204</v>
      </c>
      <c r="J373" s="17"/>
      <c r="K373" s="9" t="s">
        <v>23</v>
      </c>
      <c r="L373" s="9" t="s">
        <v>24</v>
      </c>
      <c r="M373" s="11" t="s">
        <v>25</v>
      </c>
      <c r="N373" s="11" t="s">
        <v>26</v>
      </c>
      <c r="O373" s="9" t="s">
        <v>27</v>
      </c>
      <c r="P373" s="15">
        <f t="shared" si="5"/>
        <v>0</v>
      </c>
      <c r="Q373" s="16">
        <f t="shared" si="2"/>
        <v>0</v>
      </c>
      <c r="R373" s="6"/>
      <c r="S373" s="6"/>
      <c r="T373" s="6"/>
      <c r="U373" s="6"/>
      <c r="V373" s="6"/>
      <c r="W373" s="6"/>
      <c r="X373" s="6"/>
      <c r="Y373" s="6"/>
    </row>
    <row r="374" ht="31.5" customHeight="1">
      <c r="A374" s="17">
        <v>372.0</v>
      </c>
      <c r="B374" s="10" t="s">
        <v>1132</v>
      </c>
      <c r="C374" s="11" t="s">
        <v>1133</v>
      </c>
      <c r="D374" s="12" t="s">
        <v>1134</v>
      </c>
      <c r="E374" s="12"/>
      <c r="F374" s="12">
        <v>2020.0</v>
      </c>
      <c r="G374" s="14" t="s">
        <v>21</v>
      </c>
      <c r="H374" s="9"/>
      <c r="I374" s="11" t="s">
        <v>204</v>
      </c>
      <c r="J374" s="17"/>
      <c r="K374" s="9" t="s">
        <v>23</v>
      </c>
      <c r="L374" s="9" t="s">
        <v>24</v>
      </c>
      <c r="M374" s="11" t="s">
        <v>25</v>
      </c>
      <c r="N374" s="11" t="s">
        <v>26</v>
      </c>
      <c r="O374" s="9" t="s">
        <v>27</v>
      </c>
      <c r="P374" s="15">
        <f t="shared" si="5"/>
        <v>0</v>
      </c>
      <c r="Q374" s="16">
        <f t="shared" si="2"/>
        <v>0</v>
      </c>
      <c r="R374" s="6"/>
      <c r="S374" s="6"/>
      <c r="T374" s="6"/>
      <c r="U374" s="6"/>
      <c r="V374" s="6"/>
      <c r="W374" s="6"/>
      <c r="X374" s="6"/>
      <c r="Y374" s="6"/>
    </row>
    <row r="375" ht="31.5" customHeight="1">
      <c r="A375" s="17">
        <v>373.0</v>
      </c>
      <c r="B375" s="10" t="s">
        <v>1135</v>
      </c>
      <c r="C375" s="11" t="s">
        <v>1136</v>
      </c>
      <c r="D375" s="12" t="s">
        <v>1137</v>
      </c>
      <c r="E375" s="12"/>
      <c r="F375" s="12">
        <v>2020.0</v>
      </c>
      <c r="G375" s="14" t="s">
        <v>21</v>
      </c>
      <c r="H375" s="9"/>
      <c r="I375" s="11" t="s">
        <v>204</v>
      </c>
      <c r="J375" s="17"/>
      <c r="K375" s="9" t="s">
        <v>23</v>
      </c>
      <c r="L375" s="9" t="s">
        <v>24</v>
      </c>
      <c r="M375" s="11" t="s">
        <v>25</v>
      </c>
      <c r="N375" s="11" t="s">
        <v>26</v>
      </c>
      <c r="O375" s="9" t="s">
        <v>27</v>
      </c>
      <c r="P375" s="15">
        <f t="shared" si="5"/>
        <v>0</v>
      </c>
      <c r="Q375" s="16">
        <f t="shared" si="2"/>
        <v>0</v>
      </c>
      <c r="R375" s="6"/>
      <c r="S375" s="6"/>
      <c r="T375" s="6"/>
      <c r="U375" s="6"/>
      <c r="V375" s="6"/>
      <c r="W375" s="6"/>
      <c r="X375" s="6"/>
      <c r="Y375" s="6"/>
    </row>
    <row r="376" ht="31.5" customHeight="1">
      <c r="A376" s="17">
        <v>374.0</v>
      </c>
      <c r="B376" s="10" t="s">
        <v>1138</v>
      </c>
      <c r="C376" s="11" t="s">
        <v>1139</v>
      </c>
      <c r="D376" s="12" t="s">
        <v>1140</v>
      </c>
      <c r="E376" s="12"/>
      <c r="F376" s="12">
        <v>2019.0</v>
      </c>
      <c r="G376" s="14" t="s">
        <v>21</v>
      </c>
      <c r="H376" s="9"/>
      <c r="I376" s="11" t="s">
        <v>204</v>
      </c>
      <c r="J376" s="17"/>
      <c r="K376" s="9" t="s">
        <v>23</v>
      </c>
      <c r="L376" s="9" t="s">
        <v>24</v>
      </c>
      <c r="M376" s="11" t="s">
        <v>25</v>
      </c>
      <c r="N376" s="11" t="s">
        <v>26</v>
      </c>
      <c r="O376" s="9" t="s">
        <v>27</v>
      </c>
      <c r="P376" s="15">
        <f t="shared" si="5"/>
        <v>0</v>
      </c>
      <c r="Q376" s="16">
        <f t="shared" si="2"/>
        <v>0</v>
      </c>
      <c r="R376" s="6"/>
      <c r="S376" s="6"/>
      <c r="T376" s="6"/>
      <c r="U376" s="6"/>
      <c r="V376" s="6"/>
      <c r="W376" s="6"/>
      <c r="X376" s="6"/>
      <c r="Y376" s="6"/>
    </row>
    <row r="377" ht="31.5" customHeight="1">
      <c r="A377" s="17">
        <v>375.0</v>
      </c>
      <c r="B377" s="10" t="s">
        <v>1141</v>
      </c>
      <c r="C377" s="11" t="s">
        <v>1142</v>
      </c>
      <c r="D377" s="12" t="s">
        <v>1143</v>
      </c>
      <c r="E377" s="12"/>
      <c r="F377" s="12">
        <v>2020.0</v>
      </c>
      <c r="G377" s="14" t="s">
        <v>21</v>
      </c>
      <c r="H377" s="9"/>
      <c r="I377" s="11" t="s">
        <v>204</v>
      </c>
      <c r="J377" s="17"/>
      <c r="K377" s="9" t="s">
        <v>23</v>
      </c>
      <c r="L377" s="9" t="s">
        <v>24</v>
      </c>
      <c r="M377" s="11" t="s">
        <v>25</v>
      </c>
      <c r="N377" s="11" t="s">
        <v>26</v>
      </c>
      <c r="O377" s="9" t="s">
        <v>27</v>
      </c>
      <c r="P377" s="15">
        <f t="shared" si="5"/>
        <v>0</v>
      </c>
      <c r="Q377" s="16">
        <f t="shared" si="2"/>
        <v>0</v>
      </c>
      <c r="R377" s="6"/>
      <c r="S377" s="6"/>
      <c r="T377" s="6"/>
      <c r="U377" s="6"/>
      <c r="V377" s="6"/>
      <c r="W377" s="6"/>
      <c r="X377" s="6"/>
      <c r="Y377" s="6"/>
    </row>
    <row r="378" ht="31.5" customHeight="1">
      <c r="A378" s="17">
        <v>376.0</v>
      </c>
      <c r="B378" s="10" t="s">
        <v>1144</v>
      </c>
      <c r="C378" s="11" t="s">
        <v>1145</v>
      </c>
      <c r="D378" s="12" t="s">
        <v>1146</v>
      </c>
      <c r="E378" s="12"/>
      <c r="F378" s="12">
        <v>2020.0</v>
      </c>
      <c r="G378" s="14" t="s">
        <v>21</v>
      </c>
      <c r="H378" s="9"/>
      <c r="I378" s="11" t="s">
        <v>204</v>
      </c>
      <c r="J378" s="17"/>
      <c r="K378" s="9" t="s">
        <v>23</v>
      </c>
      <c r="L378" s="9" t="s">
        <v>24</v>
      </c>
      <c r="M378" s="11" t="s">
        <v>25</v>
      </c>
      <c r="N378" s="11" t="s">
        <v>26</v>
      </c>
      <c r="O378" s="9" t="s">
        <v>27</v>
      </c>
      <c r="P378" s="15">
        <f t="shared" si="5"/>
        <v>0</v>
      </c>
      <c r="Q378" s="16">
        <f t="shared" si="2"/>
        <v>0</v>
      </c>
      <c r="R378" s="6"/>
      <c r="S378" s="6"/>
      <c r="T378" s="6"/>
      <c r="U378" s="6"/>
      <c r="V378" s="6"/>
      <c r="W378" s="6"/>
      <c r="X378" s="6"/>
      <c r="Y378" s="6"/>
    </row>
    <row r="379" ht="31.5" customHeight="1">
      <c r="A379" s="17">
        <v>377.0</v>
      </c>
      <c r="B379" s="10" t="s">
        <v>1147</v>
      </c>
      <c r="C379" s="11" t="s">
        <v>1148</v>
      </c>
      <c r="D379" s="12" t="s">
        <v>1149</v>
      </c>
      <c r="E379" s="12"/>
      <c r="F379" s="12">
        <v>2020.0</v>
      </c>
      <c r="G379" s="14" t="s">
        <v>21</v>
      </c>
      <c r="H379" s="9"/>
      <c r="I379" s="11" t="s">
        <v>204</v>
      </c>
      <c r="J379" s="17"/>
      <c r="K379" s="9" t="s">
        <v>23</v>
      </c>
      <c r="L379" s="9" t="s">
        <v>24</v>
      </c>
      <c r="M379" s="11" t="s">
        <v>25</v>
      </c>
      <c r="N379" s="11" t="s">
        <v>26</v>
      </c>
      <c r="O379" s="9" t="s">
        <v>27</v>
      </c>
      <c r="P379" s="15">
        <f t="shared" si="5"/>
        <v>0</v>
      </c>
      <c r="Q379" s="16">
        <f t="shared" si="2"/>
        <v>0</v>
      </c>
      <c r="R379" s="6"/>
      <c r="S379" s="6"/>
      <c r="T379" s="6"/>
      <c r="U379" s="6"/>
      <c r="V379" s="6"/>
      <c r="W379" s="6"/>
      <c r="X379" s="6"/>
      <c r="Y379" s="6"/>
    </row>
    <row r="380" ht="31.5" customHeight="1">
      <c r="A380" s="17">
        <v>378.0</v>
      </c>
      <c r="B380" s="10" t="s">
        <v>1150</v>
      </c>
      <c r="C380" s="11" t="s">
        <v>1151</v>
      </c>
      <c r="D380" s="12" t="s">
        <v>1152</v>
      </c>
      <c r="E380" s="12"/>
      <c r="F380" s="12">
        <v>2020.0</v>
      </c>
      <c r="G380" s="14" t="s">
        <v>21</v>
      </c>
      <c r="H380" s="9"/>
      <c r="I380" s="11" t="s">
        <v>204</v>
      </c>
      <c r="J380" s="17"/>
      <c r="K380" s="9" t="s">
        <v>23</v>
      </c>
      <c r="L380" s="9" t="s">
        <v>24</v>
      </c>
      <c r="M380" s="11" t="s">
        <v>25</v>
      </c>
      <c r="N380" s="11" t="s">
        <v>26</v>
      </c>
      <c r="O380" s="9" t="s">
        <v>27</v>
      </c>
      <c r="P380" s="15">
        <f t="shared" si="5"/>
        <v>0</v>
      </c>
      <c r="Q380" s="16">
        <f t="shared" si="2"/>
        <v>0</v>
      </c>
      <c r="R380" s="6"/>
      <c r="S380" s="6"/>
      <c r="T380" s="6"/>
      <c r="U380" s="6"/>
      <c r="V380" s="6"/>
      <c r="W380" s="6"/>
      <c r="X380" s="6"/>
      <c r="Y380" s="6"/>
    </row>
    <row r="381" ht="31.5" customHeight="1">
      <c r="A381" s="17">
        <v>379.0</v>
      </c>
      <c r="B381" s="10" t="s">
        <v>1153</v>
      </c>
      <c r="C381" s="11" t="s">
        <v>1154</v>
      </c>
      <c r="D381" s="12" t="s">
        <v>1155</v>
      </c>
      <c r="E381" s="13" t="s">
        <v>81</v>
      </c>
      <c r="F381" s="12">
        <v>2020.0</v>
      </c>
      <c r="G381" s="14" t="s">
        <v>21</v>
      </c>
      <c r="H381" s="9"/>
      <c r="I381" s="11" t="s">
        <v>204</v>
      </c>
      <c r="J381" s="17"/>
      <c r="K381" s="9" t="s">
        <v>23</v>
      </c>
      <c r="L381" s="9" t="s">
        <v>24</v>
      </c>
      <c r="M381" s="11" t="s">
        <v>25</v>
      </c>
      <c r="N381" s="11" t="s">
        <v>26</v>
      </c>
      <c r="O381" s="9" t="s">
        <v>27</v>
      </c>
      <c r="P381" s="15">
        <f t="shared" si="5"/>
        <v>0</v>
      </c>
      <c r="Q381" s="16">
        <f t="shared" si="2"/>
        <v>0</v>
      </c>
      <c r="R381" s="6"/>
      <c r="S381" s="6"/>
      <c r="T381" s="6"/>
      <c r="U381" s="6"/>
      <c r="V381" s="6"/>
      <c r="W381" s="6"/>
      <c r="X381" s="6"/>
      <c r="Y381" s="6"/>
    </row>
    <row r="382" ht="31.5" customHeight="1">
      <c r="A382" s="17">
        <v>380.0</v>
      </c>
      <c r="B382" s="10" t="s">
        <v>1156</v>
      </c>
      <c r="C382" s="11" t="s">
        <v>1157</v>
      </c>
      <c r="D382" s="12" t="s">
        <v>1158</v>
      </c>
      <c r="E382" s="12"/>
      <c r="F382" s="12">
        <v>2020.0</v>
      </c>
      <c r="G382" s="14" t="s">
        <v>21</v>
      </c>
      <c r="H382" s="9"/>
      <c r="I382" s="11" t="s">
        <v>204</v>
      </c>
      <c r="J382" s="17"/>
      <c r="K382" s="9" t="s">
        <v>23</v>
      </c>
      <c r="L382" s="9" t="s">
        <v>24</v>
      </c>
      <c r="M382" s="11" t="s">
        <v>25</v>
      </c>
      <c r="N382" s="11" t="s">
        <v>26</v>
      </c>
      <c r="O382" s="9" t="s">
        <v>27</v>
      </c>
      <c r="P382" s="15">
        <f t="shared" si="5"/>
        <v>0</v>
      </c>
      <c r="Q382" s="16">
        <f t="shared" si="2"/>
        <v>0</v>
      </c>
      <c r="R382" s="6"/>
      <c r="S382" s="6"/>
      <c r="T382" s="6"/>
      <c r="U382" s="6"/>
      <c r="V382" s="6"/>
      <c r="W382" s="6"/>
      <c r="X382" s="6"/>
      <c r="Y382" s="6"/>
    </row>
    <row r="383" ht="31.5" customHeight="1">
      <c r="A383" s="17">
        <v>381.0</v>
      </c>
      <c r="B383" s="10" t="s">
        <v>1159</v>
      </c>
      <c r="C383" s="11" t="s">
        <v>1160</v>
      </c>
      <c r="D383" s="12" t="s">
        <v>1161</v>
      </c>
      <c r="E383" s="12"/>
      <c r="F383" s="12">
        <v>2020.0</v>
      </c>
      <c r="G383" s="14" t="s">
        <v>21</v>
      </c>
      <c r="H383" s="9"/>
      <c r="I383" s="11" t="s">
        <v>204</v>
      </c>
      <c r="J383" s="17"/>
      <c r="K383" s="9" t="s">
        <v>23</v>
      </c>
      <c r="L383" s="9" t="s">
        <v>24</v>
      </c>
      <c r="M383" s="11" t="s">
        <v>25</v>
      </c>
      <c r="N383" s="11" t="s">
        <v>26</v>
      </c>
      <c r="O383" s="9" t="s">
        <v>27</v>
      </c>
      <c r="P383" s="15">
        <f t="shared" si="5"/>
        <v>0</v>
      </c>
      <c r="Q383" s="16">
        <f t="shared" si="2"/>
        <v>0</v>
      </c>
      <c r="R383" s="6"/>
      <c r="S383" s="6"/>
      <c r="T383" s="6"/>
      <c r="U383" s="6"/>
      <c r="V383" s="6"/>
      <c r="W383" s="6"/>
      <c r="X383" s="6"/>
      <c r="Y383" s="6"/>
    </row>
    <row r="384" ht="31.5" customHeight="1">
      <c r="A384" s="17">
        <v>382.0</v>
      </c>
      <c r="B384" s="10" t="s">
        <v>1162</v>
      </c>
      <c r="C384" s="11" t="s">
        <v>1163</v>
      </c>
      <c r="D384" s="12" t="s">
        <v>1164</v>
      </c>
      <c r="E384" s="12"/>
      <c r="F384" s="12">
        <v>2020.0</v>
      </c>
      <c r="G384" s="14" t="s">
        <v>21</v>
      </c>
      <c r="H384" s="9"/>
      <c r="I384" s="11" t="s">
        <v>204</v>
      </c>
      <c r="J384" s="17"/>
      <c r="K384" s="9" t="s">
        <v>23</v>
      </c>
      <c r="L384" s="9" t="s">
        <v>24</v>
      </c>
      <c r="M384" s="11" t="s">
        <v>25</v>
      </c>
      <c r="N384" s="11" t="s">
        <v>26</v>
      </c>
      <c r="O384" s="9" t="s">
        <v>27</v>
      </c>
      <c r="P384" s="15">
        <f t="shared" si="5"/>
        <v>0</v>
      </c>
      <c r="Q384" s="16">
        <f t="shared" si="2"/>
        <v>0</v>
      </c>
      <c r="R384" s="6"/>
      <c r="S384" s="6"/>
      <c r="T384" s="6"/>
      <c r="U384" s="6"/>
      <c r="V384" s="6"/>
      <c r="W384" s="6"/>
      <c r="X384" s="6"/>
      <c r="Y384" s="6"/>
    </row>
    <row r="385" ht="31.5" customHeight="1">
      <c r="A385" s="17">
        <v>383.0</v>
      </c>
      <c r="B385" s="10" t="s">
        <v>1165</v>
      </c>
      <c r="C385" s="11" t="s">
        <v>1166</v>
      </c>
      <c r="D385" s="12" t="s">
        <v>1167</v>
      </c>
      <c r="E385" s="13" t="s">
        <v>102</v>
      </c>
      <c r="F385" s="12">
        <v>2020.0</v>
      </c>
      <c r="G385" s="14" t="s">
        <v>21</v>
      </c>
      <c r="H385" s="9"/>
      <c r="I385" s="11" t="s">
        <v>204</v>
      </c>
      <c r="J385" s="17"/>
      <c r="K385" s="9" t="s">
        <v>23</v>
      </c>
      <c r="L385" s="9" t="s">
        <v>24</v>
      </c>
      <c r="M385" s="11" t="s">
        <v>25</v>
      </c>
      <c r="N385" s="11" t="s">
        <v>26</v>
      </c>
      <c r="O385" s="9" t="s">
        <v>27</v>
      </c>
      <c r="P385" s="15">
        <f t="shared" si="5"/>
        <v>0</v>
      </c>
      <c r="Q385" s="16">
        <f t="shared" si="2"/>
        <v>0</v>
      </c>
      <c r="R385" s="6"/>
      <c r="S385" s="6"/>
      <c r="T385" s="6"/>
      <c r="U385" s="6"/>
      <c r="V385" s="6"/>
      <c r="W385" s="6"/>
      <c r="X385" s="6"/>
      <c r="Y385" s="6"/>
    </row>
    <row r="386" ht="31.5" customHeight="1">
      <c r="A386" s="17">
        <v>384.0</v>
      </c>
      <c r="B386" s="10" t="s">
        <v>1168</v>
      </c>
      <c r="C386" s="11" t="s">
        <v>1169</v>
      </c>
      <c r="D386" s="12" t="s">
        <v>1170</v>
      </c>
      <c r="E386" s="12"/>
      <c r="F386" s="12">
        <v>2019.0</v>
      </c>
      <c r="G386" s="14" t="s">
        <v>21</v>
      </c>
      <c r="H386" s="9"/>
      <c r="I386" s="11" t="s">
        <v>204</v>
      </c>
      <c r="J386" s="17"/>
      <c r="K386" s="9" t="s">
        <v>23</v>
      </c>
      <c r="L386" s="9" t="s">
        <v>24</v>
      </c>
      <c r="M386" s="11" t="s">
        <v>25</v>
      </c>
      <c r="N386" s="11" t="s">
        <v>26</v>
      </c>
      <c r="O386" s="9" t="s">
        <v>27</v>
      </c>
      <c r="P386" s="15">
        <f t="shared" si="5"/>
        <v>0</v>
      </c>
      <c r="Q386" s="16">
        <f t="shared" si="2"/>
        <v>0</v>
      </c>
      <c r="R386" s="6"/>
      <c r="S386" s="6"/>
      <c r="T386" s="6"/>
      <c r="U386" s="6"/>
      <c r="V386" s="6"/>
      <c r="W386" s="6"/>
      <c r="X386" s="6"/>
      <c r="Y386" s="6"/>
    </row>
    <row r="387" ht="31.5" customHeight="1">
      <c r="A387" s="17">
        <v>385.0</v>
      </c>
      <c r="B387" s="10" t="s">
        <v>1171</v>
      </c>
      <c r="C387" s="11" t="s">
        <v>1172</v>
      </c>
      <c r="D387" s="12" t="s">
        <v>1173</v>
      </c>
      <c r="E387" s="12"/>
      <c r="F387" s="12">
        <v>2020.0</v>
      </c>
      <c r="G387" s="14" t="s">
        <v>21</v>
      </c>
      <c r="H387" s="9"/>
      <c r="I387" s="11" t="s">
        <v>204</v>
      </c>
      <c r="J387" s="17"/>
      <c r="K387" s="9" t="s">
        <v>23</v>
      </c>
      <c r="L387" s="9" t="s">
        <v>24</v>
      </c>
      <c r="M387" s="11" t="s">
        <v>25</v>
      </c>
      <c r="N387" s="11" t="s">
        <v>26</v>
      </c>
      <c r="O387" s="9" t="s">
        <v>27</v>
      </c>
      <c r="P387" s="15">
        <f t="shared" si="5"/>
        <v>0</v>
      </c>
      <c r="Q387" s="16">
        <f t="shared" si="2"/>
        <v>0</v>
      </c>
      <c r="R387" s="6"/>
      <c r="S387" s="6"/>
      <c r="T387" s="6"/>
      <c r="U387" s="6"/>
      <c r="V387" s="6"/>
      <c r="W387" s="6"/>
      <c r="X387" s="6"/>
      <c r="Y387" s="6"/>
    </row>
    <row r="388" ht="31.5" customHeight="1">
      <c r="A388" s="17">
        <v>386.0</v>
      </c>
      <c r="B388" s="10" t="s">
        <v>1174</v>
      </c>
      <c r="C388" s="11" t="s">
        <v>1175</v>
      </c>
      <c r="D388" s="12" t="s">
        <v>1176</v>
      </c>
      <c r="E388" s="12"/>
      <c r="F388" s="12">
        <v>2020.0</v>
      </c>
      <c r="G388" s="14" t="s">
        <v>21</v>
      </c>
      <c r="H388" s="9"/>
      <c r="I388" s="11" t="s">
        <v>204</v>
      </c>
      <c r="J388" s="17"/>
      <c r="K388" s="9" t="s">
        <v>23</v>
      </c>
      <c r="L388" s="9" t="s">
        <v>24</v>
      </c>
      <c r="M388" s="11" t="s">
        <v>25</v>
      </c>
      <c r="N388" s="11" t="s">
        <v>26</v>
      </c>
      <c r="O388" s="9" t="s">
        <v>27</v>
      </c>
      <c r="P388" s="15">
        <f t="shared" si="5"/>
        <v>0</v>
      </c>
      <c r="Q388" s="16">
        <f t="shared" si="2"/>
        <v>0</v>
      </c>
      <c r="R388" s="6"/>
      <c r="S388" s="6"/>
      <c r="T388" s="6"/>
      <c r="U388" s="6"/>
      <c r="V388" s="6"/>
      <c r="W388" s="6"/>
      <c r="X388" s="6"/>
      <c r="Y388" s="6"/>
    </row>
    <row r="389" ht="31.5" customHeight="1">
      <c r="A389" s="17">
        <v>387.0</v>
      </c>
      <c r="B389" s="10" t="s">
        <v>1177</v>
      </c>
      <c r="C389" s="11" t="s">
        <v>1020</v>
      </c>
      <c r="D389" s="12" t="s">
        <v>1178</v>
      </c>
      <c r="E389" s="12"/>
      <c r="F389" s="12">
        <v>2020.0</v>
      </c>
      <c r="G389" s="14" t="s">
        <v>21</v>
      </c>
      <c r="H389" s="9"/>
      <c r="I389" s="11" t="s">
        <v>204</v>
      </c>
      <c r="J389" s="17"/>
      <c r="K389" s="9" t="s">
        <v>23</v>
      </c>
      <c r="L389" s="9" t="s">
        <v>24</v>
      </c>
      <c r="M389" s="11" t="s">
        <v>25</v>
      </c>
      <c r="N389" s="11" t="s">
        <v>26</v>
      </c>
      <c r="O389" s="9" t="s">
        <v>27</v>
      </c>
      <c r="P389" s="15">
        <f t="shared" si="5"/>
        <v>0</v>
      </c>
      <c r="Q389" s="16">
        <f t="shared" si="2"/>
        <v>0</v>
      </c>
      <c r="R389" s="6"/>
      <c r="S389" s="6"/>
      <c r="T389" s="6"/>
      <c r="U389" s="6"/>
      <c r="V389" s="6"/>
      <c r="W389" s="6"/>
      <c r="X389" s="6"/>
      <c r="Y389" s="6"/>
    </row>
    <row r="390" ht="31.5" customHeight="1">
      <c r="A390" s="17">
        <v>388.0</v>
      </c>
      <c r="B390" s="10" t="s">
        <v>1179</v>
      </c>
      <c r="C390" s="11" t="s">
        <v>1180</v>
      </c>
      <c r="D390" s="12" t="s">
        <v>1181</v>
      </c>
      <c r="E390" s="12"/>
      <c r="F390" s="12">
        <v>2020.0</v>
      </c>
      <c r="G390" s="14" t="s">
        <v>21</v>
      </c>
      <c r="H390" s="9"/>
      <c r="I390" s="11" t="s">
        <v>204</v>
      </c>
      <c r="J390" s="17"/>
      <c r="K390" s="9" t="s">
        <v>23</v>
      </c>
      <c r="L390" s="9" t="s">
        <v>24</v>
      </c>
      <c r="M390" s="11" t="s">
        <v>25</v>
      </c>
      <c r="N390" s="11" t="s">
        <v>26</v>
      </c>
      <c r="O390" s="9" t="s">
        <v>27</v>
      </c>
      <c r="P390" s="15">
        <f t="shared" si="5"/>
        <v>0</v>
      </c>
      <c r="Q390" s="16">
        <f t="shared" si="2"/>
        <v>0</v>
      </c>
      <c r="R390" s="6"/>
      <c r="S390" s="6"/>
      <c r="T390" s="6"/>
      <c r="U390" s="6"/>
      <c r="V390" s="6"/>
      <c r="W390" s="6"/>
      <c r="X390" s="6"/>
      <c r="Y390" s="6"/>
    </row>
    <row r="391" ht="31.5" customHeight="1">
      <c r="A391" s="17">
        <v>389.0</v>
      </c>
      <c r="B391" s="10" t="s">
        <v>1182</v>
      </c>
      <c r="C391" s="11" t="s">
        <v>1183</v>
      </c>
      <c r="D391" s="12" t="s">
        <v>1184</v>
      </c>
      <c r="E391" s="12"/>
      <c r="F391" s="12">
        <v>2020.0</v>
      </c>
      <c r="G391" s="14" t="s">
        <v>21</v>
      </c>
      <c r="H391" s="9"/>
      <c r="I391" s="11" t="s">
        <v>204</v>
      </c>
      <c r="J391" s="17"/>
      <c r="K391" s="9" t="s">
        <v>23</v>
      </c>
      <c r="L391" s="9" t="s">
        <v>24</v>
      </c>
      <c r="M391" s="11" t="s">
        <v>25</v>
      </c>
      <c r="N391" s="11" t="s">
        <v>26</v>
      </c>
      <c r="O391" s="9" t="s">
        <v>27</v>
      </c>
      <c r="P391" s="15">
        <f t="shared" si="5"/>
        <v>0</v>
      </c>
      <c r="Q391" s="16">
        <f t="shared" si="2"/>
        <v>0</v>
      </c>
      <c r="R391" s="6"/>
      <c r="S391" s="6"/>
      <c r="T391" s="6"/>
      <c r="U391" s="6"/>
      <c r="V391" s="6"/>
      <c r="W391" s="6"/>
      <c r="X391" s="6"/>
      <c r="Y391" s="6"/>
    </row>
    <row r="392" ht="31.5" customHeight="1">
      <c r="A392" s="17">
        <v>390.0</v>
      </c>
      <c r="B392" s="10" t="s">
        <v>1185</v>
      </c>
      <c r="C392" s="11" t="s">
        <v>1186</v>
      </c>
      <c r="D392" s="12" t="s">
        <v>1187</v>
      </c>
      <c r="E392" s="12"/>
      <c r="F392" s="12">
        <v>2019.0</v>
      </c>
      <c r="G392" s="14" t="s">
        <v>21</v>
      </c>
      <c r="H392" s="9"/>
      <c r="I392" s="11" t="s">
        <v>204</v>
      </c>
      <c r="J392" s="17"/>
      <c r="K392" s="9" t="s">
        <v>23</v>
      </c>
      <c r="L392" s="9" t="s">
        <v>24</v>
      </c>
      <c r="M392" s="11" t="s">
        <v>25</v>
      </c>
      <c r="N392" s="11" t="s">
        <v>26</v>
      </c>
      <c r="O392" s="9" t="s">
        <v>27</v>
      </c>
      <c r="P392" s="15">
        <f t="shared" si="5"/>
        <v>0</v>
      </c>
      <c r="Q392" s="16">
        <f t="shared" si="2"/>
        <v>0</v>
      </c>
      <c r="R392" s="6"/>
      <c r="S392" s="6"/>
      <c r="T392" s="6"/>
      <c r="U392" s="6"/>
      <c r="V392" s="6"/>
      <c r="W392" s="6"/>
      <c r="X392" s="6"/>
      <c r="Y392" s="6"/>
    </row>
    <row r="393" ht="31.5" customHeight="1">
      <c r="A393" s="17">
        <v>391.0</v>
      </c>
      <c r="B393" s="10" t="s">
        <v>1188</v>
      </c>
      <c r="C393" s="11" t="s">
        <v>1189</v>
      </c>
      <c r="D393" s="12" t="s">
        <v>1190</v>
      </c>
      <c r="E393" s="12"/>
      <c r="F393" s="12">
        <v>2019.0</v>
      </c>
      <c r="G393" s="14" t="s">
        <v>21</v>
      </c>
      <c r="H393" s="9"/>
      <c r="I393" s="11" t="s">
        <v>204</v>
      </c>
      <c r="J393" s="17"/>
      <c r="K393" s="9" t="s">
        <v>23</v>
      </c>
      <c r="L393" s="9" t="s">
        <v>24</v>
      </c>
      <c r="M393" s="11" t="s">
        <v>25</v>
      </c>
      <c r="N393" s="11" t="s">
        <v>26</v>
      </c>
      <c r="O393" s="9" t="s">
        <v>27</v>
      </c>
      <c r="P393" s="15">
        <f t="shared" si="5"/>
        <v>0</v>
      </c>
      <c r="Q393" s="16">
        <f t="shared" si="2"/>
        <v>0</v>
      </c>
      <c r="R393" s="6"/>
      <c r="S393" s="6"/>
      <c r="T393" s="6"/>
      <c r="U393" s="6"/>
      <c r="V393" s="6"/>
      <c r="W393" s="6"/>
      <c r="X393" s="6"/>
      <c r="Y393" s="6"/>
    </row>
    <row r="394" ht="31.5" customHeight="1">
      <c r="A394" s="17">
        <v>392.0</v>
      </c>
      <c r="B394" s="10" t="s">
        <v>1191</v>
      </c>
      <c r="C394" s="11" t="s">
        <v>1192</v>
      </c>
      <c r="D394" s="12" t="s">
        <v>1193</v>
      </c>
      <c r="E394" s="12"/>
      <c r="F394" s="12">
        <v>2020.0</v>
      </c>
      <c r="G394" s="14" t="s">
        <v>21</v>
      </c>
      <c r="H394" s="9"/>
      <c r="I394" s="11" t="s">
        <v>204</v>
      </c>
      <c r="J394" s="17"/>
      <c r="K394" s="9" t="s">
        <v>23</v>
      </c>
      <c r="L394" s="9" t="s">
        <v>24</v>
      </c>
      <c r="M394" s="11" t="s">
        <v>25</v>
      </c>
      <c r="N394" s="11" t="s">
        <v>26</v>
      </c>
      <c r="O394" s="9" t="s">
        <v>27</v>
      </c>
      <c r="P394" s="15">
        <f t="shared" si="5"/>
        <v>0</v>
      </c>
      <c r="Q394" s="16">
        <f t="shared" si="2"/>
        <v>0</v>
      </c>
      <c r="R394" s="6"/>
      <c r="S394" s="6"/>
      <c r="T394" s="6"/>
      <c r="U394" s="6"/>
      <c r="V394" s="6"/>
      <c r="W394" s="6"/>
      <c r="X394" s="6"/>
      <c r="Y394" s="6"/>
    </row>
    <row r="395" ht="31.5" customHeight="1">
      <c r="A395" s="17">
        <v>393.0</v>
      </c>
      <c r="B395" s="10" t="s">
        <v>1194</v>
      </c>
      <c r="C395" s="11" t="s">
        <v>1195</v>
      </c>
      <c r="D395" s="12" t="s">
        <v>1196</v>
      </c>
      <c r="E395" s="12"/>
      <c r="F395" s="12">
        <v>2020.0</v>
      </c>
      <c r="G395" s="14" t="s">
        <v>21</v>
      </c>
      <c r="H395" s="9"/>
      <c r="I395" s="11" t="s">
        <v>204</v>
      </c>
      <c r="J395" s="17"/>
      <c r="K395" s="9" t="s">
        <v>23</v>
      </c>
      <c r="L395" s="9" t="s">
        <v>24</v>
      </c>
      <c r="M395" s="11" t="s">
        <v>25</v>
      </c>
      <c r="N395" s="11" t="s">
        <v>26</v>
      </c>
      <c r="O395" s="9" t="s">
        <v>27</v>
      </c>
      <c r="P395" s="15">
        <f t="shared" si="5"/>
        <v>0</v>
      </c>
      <c r="Q395" s="16">
        <f t="shared" si="2"/>
        <v>0</v>
      </c>
      <c r="R395" s="6"/>
      <c r="S395" s="6"/>
      <c r="T395" s="6"/>
      <c r="U395" s="6"/>
      <c r="V395" s="6"/>
      <c r="W395" s="6"/>
      <c r="X395" s="6"/>
      <c r="Y395" s="6"/>
    </row>
    <row r="396" ht="31.5" customHeight="1">
      <c r="A396" s="17">
        <v>394.0</v>
      </c>
      <c r="B396" s="10" t="s">
        <v>1197</v>
      </c>
      <c r="C396" s="11" t="s">
        <v>1198</v>
      </c>
      <c r="D396" s="12" t="s">
        <v>1199</v>
      </c>
      <c r="E396" s="12"/>
      <c r="F396" s="12">
        <v>2020.0</v>
      </c>
      <c r="G396" s="14" t="s">
        <v>21</v>
      </c>
      <c r="H396" s="9"/>
      <c r="I396" s="11" t="s">
        <v>204</v>
      </c>
      <c r="J396" s="17"/>
      <c r="K396" s="9" t="s">
        <v>23</v>
      </c>
      <c r="L396" s="9" t="s">
        <v>24</v>
      </c>
      <c r="M396" s="11" t="s">
        <v>25</v>
      </c>
      <c r="N396" s="11" t="s">
        <v>26</v>
      </c>
      <c r="O396" s="9" t="s">
        <v>27</v>
      </c>
      <c r="P396" s="15">
        <f t="shared" si="5"/>
        <v>0</v>
      </c>
      <c r="Q396" s="16">
        <f t="shared" si="2"/>
        <v>0</v>
      </c>
      <c r="R396" s="6"/>
      <c r="S396" s="6"/>
      <c r="T396" s="6"/>
      <c r="U396" s="6"/>
      <c r="V396" s="6"/>
      <c r="W396" s="6"/>
      <c r="X396" s="6"/>
      <c r="Y396" s="6"/>
    </row>
    <row r="397" ht="31.5" customHeight="1">
      <c r="A397" s="17">
        <v>395.0</v>
      </c>
      <c r="B397" s="10" t="s">
        <v>1200</v>
      </c>
      <c r="C397" s="11" t="s">
        <v>1201</v>
      </c>
      <c r="D397" s="12" t="s">
        <v>1202</v>
      </c>
      <c r="E397" s="12"/>
      <c r="F397" s="12">
        <v>2019.0</v>
      </c>
      <c r="G397" s="14" t="s">
        <v>21</v>
      </c>
      <c r="H397" s="9"/>
      <c r="I397" s="11" t="s">
        <v>204</v>
      </c>
      <c r="J397" s="17"/>
      <c r="K397" s="9" t="s">
        <v>23</v>
      </c>
      <c r="L397" s="9" t="s">
        <v>24</v>
      </c>
      <c r="M397" s="11" t="s">
        <v>25</v>
      </c>
      <c r="N397" s="11" t="s">
        <v>26</v>
      </c>
      <c r="O397" s="9" t="s">
        <v>27</v>
      </c>
      <c r="P397" s="15">
        <f t="shared" si="5"/>
        <v>0</v>
      </c>
      <c r="Q397" s="16">
        <f t="shared" si="2"/>
        <v>0</v>
      </c>
      <c r="R397" s="6"/>
      <c r="S397" s="6"/>
      <c r="T397" s="6"/>
      <c r="U397" s="6"/>
      <c r="V397" s="6"/>
      <c r="W397" s="6"/>
      <c r="X397" s="6"/>
      <c r="Y397" s="6"/>
    </row>
    <row r="398" ht="31.5" customHeight="1">
      <c r="A398" s="17">
        <v>396.0</v>
      </c>
      <c r="B398" s="10" t="s">
        <v>1203</v>
      </c>
      <c r="C398" s="11" t="s">
        <v>1204</v>
      </c>
      <c r="D398" s="12" t="s">
        <v>1205</v>
      </c>
      <c r="E398" s="12"/>
      <c r="F398" s="12">
        <v>2019.0</v>
      </c>
      <c r="G398" s="14" t="s">
        <v>21</v>
      </c>
      <c r="H398" s="9"/>
      <c r="I398" s="11" t="s">
        <v>204</v>
      </c>
      <c r="J398" s="17"/>
      <c r="K398" s="9" t="s">
        <v>23</v>
      </c>
      <c r="L398" s="9" t="s">
        <v>24</v>
      </c>
      <c r="M398" s="11" t="s">
        <v>25</v>
      </c>
      <c r="N398" s="11" t="s">
        <v>26</v>
      </c>
      <c r="O398" s="9" t="s">
        <v>27</v>
      </c>
      <c r="P398" s="15">
        <f t="shared" si="5"/>
        <v>0</v>
      </c>
      <c r="Q398" s="16">
        <f t="shared" si="2"/>
        <v>0</v>
      </c>
      <c r="R398" s="6"/>
      <c r="S398" s="6"/>
      <c r="T398" s="6"/>
      <c r="U398" s="6"/>
      <c r="V398" s="6"/>
      <c r="W398" s="6"/>
      <c r="X398" s="6"/>
      <c r="Y398" s="6"/>
    </row>
    <row r="399" ht="31.5" customHeight="1">
      <c r="A399" s="17">
        <v>397.0</v>
      </c>
      <c r="B399" s="10" t="s">
        <v>1206</v>
      </c>
      <c r="C399" s="11" t="s">
        <v>1207</v>
      </c>
      <c r="D399" s="12" t="s">
        <v>1208</v>
      </c>
      <c r="E399" s="13" t="s">
        <v>1209</v>
      </c>
      <c r="F399" s="12">
        <v>2019.0</v>
      </c>
      <c r="G399" s="14" t="s">
        <v>21</v>
      </c>
      <c r="H399" s="9"/>
      <c r="I399" s="11" t="s">
        <v>204</v>
      </c>
      <c r="J399" s="17"/>
      <c r="K399" s="9" t="s">
        <v>23</v>
      </c>
      <c r="L399" s="9" t="s">
        <v>24</v>
      </c>
      <c r="M399" s="11" t="s">
        <v>25</v>
      </c>
      <c r="N399" s="11" t="s">
        <v>26</v>
      </c>
      <c r="O399" s="9" t="s">
        <v>27</v>
      </c>
      <c r="P399" s="15">
        <f t="shared" si="5"/>
        <v>0</v>
      </c>
      <c r="Q399" s="16">
        <f t="shared" si="2"/>
        <v>0</v>
      </c>
      <c r="R399" s="6"/>
      <c r="S399" s="6"/>
      <c r="T399" s="6"/>
      <c r="U399" s="6"/>
      <c r="V399" s="6"/>
      <c r="W399" s="6"/>
      <c r="X399" s="6"/>
      <c r="Y399" s="6"/>
    </row>
    <row r="400" ht="31.5" customHeight="1">
      <c r="A400" s="17">
        <v>398.0</v>
      </c>
      <c r="B400" s="10" t="s">
        <v>1210</v>
      </c>
      <c r="C400" s="11" t="s">
        <v>1211</v>
      </c>
      <c r="D400" s="12" t="s">
        <v>1212</v>
      </c>
      <c r="E400" s="12"/>
      <c r="F400" s="12">
        <v>2019.0</v>
      </c>
      <c r="G400" s="14" t="s">
        <v>21</v>
      </c>
      <c r="H400" s="9"/>
      <c r="I400" s="11" t="s">
        <v>204</v>
      </c>
      <c r="J400" s="17"/>
      <c r="K400" s="9" t="s">
        <v>23</v>
      </c>
      <c r="L400" s="9" t="s">
        <v>24</v>
      </c>
      <c r="M400" s="11" t="s">
        <v>25</v>
      </c>
      <c r="N400" s="11" t="s">
        <v>26</v>
      </c>
      <c r="O400" s="9" t="s">
        <v>27</v>
      </c>
      <c r="P400" s="15">
        <f t="shared" si="5"/>
        <v>0</v>
      </c>
      <c r="Q400" s="16">
        <f t="shared" si="2"/>
        <v>0</v>
      </c>
      <c r="R400" s="6"/>
      <c r="S400" s="6"/>
      <c r="T400" s="6"/>
      <c r="U400" s="6"/>
      <c r="V400" s="6"/>
      <c r="W400" s="6"/>
      <c r="X400" s="6"/>
      <c r="Y400" s="6"/>
    </row>
    <row r="401" ht="31.5" customHeight="1">
      <c r="A401" s="17">
        <v>399.0</v>
      </c>
      <c r="B401" s="10" t="s">
        <v>1213</v>
      </c>
      <c r="C401" s="11" t="s">
        <v>1214</v>
      </c>
      <c r="D401" s="12" t="s">
        <v>1215</v>
      </c>
      <c r="E401" s="13" t="s">
        <v>102</v>
      </c>
      <c r="F401" s="12">
        <v>2019.0</v>
      </c>
      <c r="G401" s="14" t="s">
        <v>21</v>
      </c>
      <c r="H401" s="9"/>
      <c r="I401" s="11" t="s">
        <v>204</v>
      </c>
      <c r="J401" s="17"/>
      <c r="K401" s="9" t="s">
        <v>23</v>
      </c>
      <c r="L401" s="9" t="s">
        <v>24</v>
      </c>
      <c r="M401" s="11" t="s">
        <v>25</v>
      </c>
      <c r="N401" s="11" t="s">
        <v>26</v>
      </c>
      <c r="O401" s="9" t="s">
        <v>27</v>
      </c>
      <c r="P401" s="15">
        <f t="shared" si="5"/>
        <v>0</v>
      </c>
      <c r="Q401" s="16">
        <f t="shared" si="2"/>
        <v>0</v>
      </c>
      <c r="R401" s="6"/>
      <c r="S401" s="6"/>
      <c r="T401" s="6"/>
      <c r="U401" s="6"/>
      <c r="V401" s="6"/>
      <c r="W401" s="6"/>
      <c r="X401" s="6"/>
      <c r="Y401" s="6"/>
    </row>
    <row r="402" ht="31.5" customHeight="1">
      <c r="A402" s="17">
        <v>400.0</v>
      </c>
      <c r="B402" s="10" t="s">
        <v>1216</v>
      </c>
      <c r="C402" s="11" t="s">
        <v>1217</v>
      </c>
      <c r="D402" s="12" t="s">
        <v>1218</v>
      </c>
      <c r="E402" s="12"/>
      <c r="F402" s="12">
        <v>2019.0</v>
      </c>
      <c r="G402" s="14" t="s">
        <v>21</v>
      </c>
      <c r="H402" s="9"/>
      <c r="I402" s="11" t="s">
        <v>204</v>
      </c>
      <c r="J402" s="17"/>
      <c r="K402" s="9" t="s">
        <v>23</v>
      </c>
      <c r="L402" s="9" t="s">
        <v>24</v>
      </c>
      <c r="M402" s="11" t="s">
        <v>25</v>
      </c>
      <c r="N402" s="11" t="s">
        <v>26</v>
      </c>
      <c r="O402" s="9" t="s">
        <v>27</v>
      </c>
      <c r="P402" s="15">
        <f t="shared" si="5"/>
        <v>0</v>
      </c>
      <c r="Q402" s="16">
        <f t="shared" si="2"/>
        <v>0</v>
      </c>
      <c r="R402" s="6"/>
      <c r="S402" s="6"/>
      <c r="T402" s="6"/>
      <c r="U402" s="6"/>
      <c r="V402" s="6"/>
      <c r="W402" s="6"/>
      <c r="X402" s="6"/>
      <c r="Y402" s="6"/>
    </row>
    <row r="403" ht="31.5" customHeight="1">
      <c r="A403" s="17">
        <v>401.0</v>
      </c>
      <c r="B403" s="10" t="s">
        <v>1219</v>
      </c>
      <c r="C403" s="11" t="s">
        <v>1220</v>
      </c>
      <c r="D403" s="12" t="s">
        <v>1221</v>
      </c>
      <c r="E403" s="12"/>
      <c r="F403" s="12">
        <v>2019.0</v>
      </c>
      <c r="G403" s="14" t="s">
        <v>21</v>
      </c>
      <c r="H403" s="9"/>
      <c r="I403" s="11" t="s">
        <v>204</v>
      </c>
      <c r="J403" s="17"/>
      <c r="K403" s="9" t="s">
        <v>23</v>
      </c>
      <c r="L403" s="9" t="s">
        <v>24</v>
      </c>
      <c r="M403" s="11" t="s">
        <v>25</v>
      </c>
      <c r="N403" s="11" t="s">
        <v>26</v>
      </c>
      <c r="O403" s="9" t="s">
        <v>27</v>
      </c>
      <c r="P403" s="15">
        <f t="shared" si="5"/>
        <v>0</v>
      </c>
      <c r="Q403" s="16">
        <f t="shared" si="2"/>
        <v>0</v>
      </c>
      <c r="R403" s="6"/>
      <c r="S403" s="6"/>
      <c r="T403" s="6"/>
      <c r="U403" s="6"/>
      <c r="V403" s="6"/>
      <c r="W403" s="6"/>
      <c r="X403" s="6"/>
      <c r="Y403" s="6"/>
    </row>
    <row r="404" ht="31.5" customHeight="1">
      <c r="A404" s="17">
        <v>402.0</v>
      </c>
      <c r="B404" s="10" t="s">
        <v>1222</v>
      </c>
      <c r="C404" s="11" t="s">
        <v>559</v>
      </c>
      <c r="D404" s="12" t="s">
        <v>1223</v>
      </c>
      <c r="E404" s="12"/>
      <c r="F404" s="12">
        <v>2019.0</v>
      </c>
      <c r="G404" s="14" t="s">
        <v>21</v>
      </c>
      <c r="H404" s="9"/>
      <c r="I404" s="11" t="s">
        <v>204</v>
      </c>
      <c r="J404" s="17"/>
      <c r="K404" s="9" t="s">
        <v>23</v>
      </c>
      <c r="L404" s="9" t="s">
        <v>24</v>
      </c>
      <c r="M404" s="11" t="s">
        <v>25</v>
      </c>
      <c r="N404" s="11" t="s">
        <v>26</v>
      </c>
      <c r="O404" s="9" t="s">
        <v>27</v>
      </c>
      <c r="P404" s="15">
        <f t="shared" si="5"/>
        <v>0</v>
      </c>
      <c r="Q404" s="16">
        <f t="shared" si="2"/>
        <v>0</v>
      </c>
      <c r="R404" s="6"/>
      <c r="S404" s="6"/>
      <c r="T404" s="6"/>
      <c r="U404" s="6"/>
      <c r="V404" s="6"/>
      <c r="W404" s="6"/>
      <c r="X404" s="6"/>
      <c r="Y404" s="6"/>
    </row>
    <row r="405" ht="31.5" customHeight="1">
      <c r="A405" s="17">
        <v>403.0</v>
      </c>
      <c r="B405" s="10" t="s">
        <v>1224</v>
      </c>
      <c r="C405" s="11" t="s">
        <v>1225</v>
      </c>
      <c r="D405" s="12" t="s">
        <v>1226</v>
      </c>
      <c r="E405" s="12"/>
      <c r="F405" s="12">
        <v>2019.0</v>
      </c>
      <c r="G405" s="14" t="s">
        <v>21</v>
      </c>
      <c r="H405" s="9"/>
      <c r="I405" s="11" t="s">
        <v>204</v>
      </c>
      <c r="J405" s="17"/>
      <c r="K405" s="9" t="s">
        <v>23</v>
      </c>
      <c r="L405" s="9" t="s">
        <v>24</v>
      </c>
      <c r="M405" s="11" t="s">
        <v>25</v>
      </c>
      <c r="N405" s="11" t="s">
        <v>26</v>
      </c>
      <c r="O405" s="9" t="s">
        <v>27</v>
      </c>
      <c r="P405" s="15">
        <f t="shared" si="5"/>
        <v>0</v>
      </c>
      <c r="Q405" s="16">
        <f t="shared" si="2"/>
        <v>0</v>
      </c>
      <c r="R405" s="6"/>
      <c r="S405" s="6"/>
      <c r="T405" s="6"/>
      <c r="U405" s="6"/>
      <c r="V405" s="6"/>
      <c r="W405" s="6"/>
      <c r="X405" s="6"/>
      <c r="Y405" s="6"/>
    </row>
    <row r="406" ht="31.5" customHeight="1">
      <c r="A406" s="17">
        <v>404.0</v>
      </c>
      <c r="B406" s="10" t="s">
        <v>1227</v>
      </c>
      <c r="C406" s="11" t="s">
        <v>1228</v>
      </c>
      <c r="D406" s="12" t="s">
        <v>1229</v>
      </c>
      <c r="E406" s="12"/>
      <c r="F406" s="12">
        <v>2019.0</v>
      </c>
      <c r="G406" s="14" t="s">
        <v>21</v>
      </c>
      <c r="H406" s="9"/>
      <c r="I406" s="11" t="s">
        <v>204</v>
      </c>
      <c r="J406" s="17"/>
      <c r="K406" s="9" t="s">
        <v>23</v>
      </c>
      <c r="L406" s="9" t="s">
        <v>24</v>
      </c>
      <c r="M406" s="11" t="s">
        <v>25</v>
      </c>
      <c r="N406" s="11" t="s">
        <v>26</v>
      </c>
      <c r="O406" s="9" t="s">
        <v>27</v>
      </c>
      <c r="P406" s="15">
        <f t="shared" si="5"/>
        <v>0</v>
      </c>
      <c r="Q406" s="16">
        <f t="shared" si="2"/>
        <v>0</v>
      </c>
      <c r="R406" s="6"/>
      <c r="S406" s="6"/>
      <c r="T406" s="6"/>
      <c r="U406" s="6"/>
      <c r="V406" s="6"/>
      <c r="W406" s="6"/>
      <c r="X406" s="6"/>
      <c r="Y406" s="6"/>
    </row>
    <row r="407" ht="31.5" customHeight="1">
      <c r="A407" s="17">
        <v>405.0</v>
      </c>
      <c r="B407" s="10" t="s">
        <v>1230</v>
      </c>
      <c r="C407" s="11" t="s">
        <v>1231</v>
      </c>
      <c r="D407" s="12" t="s">
        <v>1232</v>
      </c>
      <c r="E407" s="12"/>
      <c r="F407" s="12">
        <v>2019.0</v>
      </c>
      <c r="G407" s="14" t="s">
        <v>21</v>
      </c>
      <c r="H407" s="9"/>
      <c r="I407" s="11" t="s">
        <v>204</v>
      </c>
      <c r="J407" s="17"/>
      <c r="K407" s="9" t="s">
        <v>23</v>
      </c>
      <c r="L407" s="9" t="s">
        <v>24</v>
      </c>
      <c r="M407" s="11" t="s">
        <v>25</v>
      </c>
      <c r="N407" s="11" t="s">
        <v>26</v>
      </c>
      <c r="O407" s="9" t="s">
        <v>27</v>
      </c>
      <c r="P407" s="15">
        <f t="shared" si="5"/>
        <v>0</v>
      </c>
      <c r="Q407" s="16">
        <f t="shared" si="2"/>
        <v>0</v>
      </c>
      <c r="R407" s="6"/>
      <c r="S407" s="6"/>
      <c r="T407" s="6"/>
      <c r="U407" s="6"/>
      <c r="V407" s="6"/>
      <c r="W407" s="6"/>
      <c r="X407" s="6"/>
      <c r="Y407" s="6"/>
    </row>
    <row r="408" ht="31.5" customHeight="1">
      <c r="A408" s="17">
        <v>406.0</v>
      </c>
      <c r="B408" s="10" t="s">
        <v>1233</v>
      </c>
      <c r="C408" s="11" t="s">
        <v>677</v>
      </c>
      <c r="D408" s="12" t="s">
        <v>1234</v>
      </c>
      <c r="E408" s="13" t="s">
        <v>679</v>
      </c>
      <c r="F408" s="12">
        <v>2019.0</v>
      </c>
      <c r="G408" s="14" t="s">
        <v>21</v>
      </c>
      <c r="H408" s="9"/>
      <c r="I408" s="11" t="s">
        <v>204</v>
      </c>
      <c r="J408" s="17"/>
      <c r="K408" s="9" t="s">
        <v>23</v>
      </c>
      <c r="L408" s="9" t="s">
        <v>24</v>
      </c>
      <c r="M408" s="11" t="s">
        <v>25</v>
      </c>
      <c r="N408" s="11" t="s">
        <v>26</v>
      </c>
      <c r="O408" s="9" t="s">
        <v>27</v>
      </c>
      <c r="P408" s="15">
        <f t="shared" si="5"/>
        <v>0</v>
      </c>
      <c r="Q408" s="16">
        <f t="shared" si="2"/>
        <v>0</v>
      </c>
      <c r="R408" s="6"/>
      <c r="S408" s="6"/>
      <c r="T408" s="6"/>
      <c r="U408" s="6"/>
      <c r="V408" s="6"/>
      <c r="W408" s="6"/>
      <c r="X408" s="6"/>
      <c r="Y408" s="6"/>
    </row>
    <row r="409" ht="31.5" customHeight="1">
      <c r="A409" s="17">
        <v>407.0</v>
      </c>
      <c r="B409" s="10" t="s">
        <v>1235</v>
      </c>
      <c r="C409" s="11" t="s">
        <v>970</v>
      </c>
      <c r="D409" s="12" t="s">
        <v>1236</v>
      </c>
      <c r="E409" s="13" t="s">
        <v>920</v>
      </c>
      <c r="F409" s="12">
        <v>2019.0</v>
      </c>
      <c r="G409" s="14" t="s">
        <v>21</v>
      </c>
      <c r="H409" s="9"/>
      <c r="I409" s="11" t="s">
        <v>204</v>
      </c>
      <c r="J409" s="17"/>
      <c r="K409" s="9" t="s">
        <v>23</v>
      </c>
      <c r="L409" s="9" t="s">
        <v>24</v>
      </c>
      <c r="M409" s="11" t="s">
        <v>25</v>
      </c>
      <c r="N409" s="11" t="s">
        <v>26</v>
      </c>
      <c r="O409" s="9" t="s">
        <v>27</v>
      </c>
      <c r="P409" s="15">
        <f t="shared" si="5"/>
        <v>0</v>
      </c>
      <c r="Q409" s="16">
        <f t="shared" si="2"/>
        <v>0</v>
      </c>
      <c r="R409" s="6"/>
      <c r="S409" s="6"/>
      <c r="T409" s="6"/>
      <c r="U409" s="6"/>
      <c r="V409" s="6"/>
      <c r="W409" s="6"/>
      <c r="X409" s="6"/>
      <c r="Y409" s="6"/>
    </row>
    <row r="410" ht="31.5" customHeight="1">
      <c r="A410" s="17">
        <v>408.0</v>
      </c>
      <c r="B410" s="10" t="s">
        <v>1237</v>
      </c>
      <c r="C410" s="11" t="s">
        <v>597</v>
      </c>
      <c r="D410" s="12" t="s">
        <v>1238</v>
      </c>
      <c r="E410" s="13" t="s">
        <v>599</v>
      </c>
      <c r="F410" s="12">
        <v>2019.0</v>
      </c>
      <c r="G410" s="14" t="s">
        <v>21</v>
      </c>
      <c r="H410" s="9"/>
      <c r="I410" s="11" t="s">
        <v>204</v>
      </c>
      <c r="J410" s="17"/>
      <c r="K410" s="9" t="s">
        <v>23</v>
      </c>
      <c r="L410" s="9" t="s">
        <v>24</v>
      </c>
      <c r="M410" s="11" t="s">
        <v>25</v>
      </c>
      <c r="N410" s="11" t="s">
        <v>26</v>
      </c>
      <c r="O410" s="9" t="s">
        <v>27</v>
      </c>
      <c r="P410" s="15">
        <f t="shared" si="5"/>
        <v>0</v>
      </c>
      <c r="Q410" s="16">
        <f t="shared" si="2"/>
        <v>0</v>
      </c>
      <c r="R410" s="6"/>
      <c r="S410" s="6"/>
      <c r="T410" s="6"/>
      <c r="U410" s="6"/>
      <c r="V410" s="6"/>
      <c r="W410" s="6"/>
      <c r="X410" s="6"/>
      <c r="Y410" s="6"/>
    </row>
    <row r="411" ht="31.5" customHeight="1">
      <c r="A411" s="17">
        <v>409.0</v>
      </c>
      <c r="B411" s="10" t="s">
        <v>1239</v>
      </c>
      <c r="C411" s="11" t="s">
        <v>1240</v>
      </c>
      <c r="D411" s="12" t="s">
        <v>1241</v>
      </c>
      <c r="E411" s="13" t="s">
        <v>66</v>
      </c>
      <c r="F411" s="12">
        <v>2019.0</v>
      </c>
      <c r="G411" s="14" t="s">
        <v>21</v>
      </c>
      <c r="H411" s="9"/>
      <c r="I411" s="11" t="s">
        <v>204</v>
      </c>
      <c r="J411" s="17"/>
      <c r="K411" s="9" t="s">
        <v>23</v>
      </c>
      <c r="L411" s="9" t="s">
        <v>24</v>
      </c>
      <c r="M411" s="11" t="s">
        <v>25</v>
      </c>
      <c r="N411" s="11" t="s">
        <v>26</v>
      </c>
      <c r="O411" s="9" t="s">
        <v>27</v>
      </c>
      <c r="P411" s="15">
        <f t="shared" si="5"/>
        <v>0</v>
      </c>
      <c r="Q411" s="16">
        <f t="shared" si="2"/>
        <v>0</v>
      </c>
      <c r="R411" s="6"/>
      <c r="S411" s="6"/>
      <c r="T411" s="6"/>
      <c r="U411" s="6"/>
      <c r="V411" s="6"/>
      <c r="W411" s="6"/>
      <c r="X411" s="6"/>
      <c r="Y411" s="6"/>
    </row>
    <row r="412" ht="31.5" customHeight="1">
      <c r="A412" s="17">
        <v>410.0</v>
      </c>
      <c r="B412" s="10" t="s">
        <v>1242</v>
      </c>
      <c r="C412" s="11" t="s">
        <v>1243</v>
      </c>
      <c r="D412" s="12" t="s">
        <v>1244</v>
      </c>
      <c r="E412" s="12"/>
      <c r="F412" s="12">
        <v>2019.0</v>
      </c>
      <c r="G412" s="14" t="s">
        <v>21</v>
      </c>
      <c r="H412" s="9"/>
      <c r="I412" s="11" t="s">
        <v>204</v>
      </c>
      <c r="J412" s="17"/>
      <c r="K412" s="9" t="s">
        <v>23</v>
      </c>
      <c r="L412" s="9" t="s">
        <v>24</v>
      </c>
      <c r="M412" s="11" t="s">
        <v>25</v>
      </c>
      <c r="N412" s="11" t="s">
        <v>26</v>
      </c>
      <c r="O412" s="9" t="s">
        <v>27</v>
      </c>
      <c r="P412" s="15">
        <f t="shared" si="5"/>
        <v>0</v>
      </c>
      <c r="Q412" s="16">
        <f t="shared" si="2"/>
        <v>0</v>
      </c>
      <c r="R412" s="6"/>
      <c r="S412" s="6"/>
      <c r="T412" s="6"/>
      <c r="U412" s="6"/>
      <c r="V412" s="6"/>
      <c r="W412" s="6"/>
      <c r="X412" s="6"/>
      <c r="Y412" s="6"/>
    </row>
    <row r="413" ht="31.5" customHeight="1">
      <c r="A413" s="17">
        <v>411.0</v>
      </c>
      <c r="B413" s="10" t="s">
        <v>1245</v>
      </c>
      <c r="C413" s="11" t="s">
        <v>1246</v>
      </c>
      <c r="D413" s="12" t="s">
        <v>1247</v>
      </c>
      <c r="E413" s="12"/>
      <c r="F413" s="12">
        <v>2019.0</v>
      </c>
      <c r="G413" s="14" t="s">
        <v>21</v>
      </c>
      <c r="H413" s="9"/>
      <c r="I413" s="11" t="s">
        <v>204</v>
      </c>
      <c r="J413" s="17"/>
      <c r="K413" s="9" t="s">
        <v>23</v>
      </c>
      <c r="L413" s="9" t="s">
        <v>24</v>
      </c>
      <c r="M413" s="11" t="s">
        <v>25</v>
      </c>
      <c r="N413" s="11" t="s">
        <v>26</v>
      </c>
      <c r="O413" s="9" t="s">
        <v>27</v>
      </c>
      <c r="P413" s="15">
        <f t="shared" si="5"/>
        <v>0</v>
      </c>
      <c r="Q413" s="16">
        <f t="shared" si="2"/>
        <v>0</v>
      </c>
      <c r="R413" s="6"/>
      <c r="S413" s="6"/>
      <c r="T413" s="6"/>
      <c r="U413" s="6"/>
      <c r="V413" s="6"/>
      <c r="W413" s="6"/>
      <c r="X413" s="6"/>
      <c r="Y413" s="6"/>
    </row>
    <row r="414" ht="31.5" customHeight="1">
      <c r="A414" s="17">
        <v>412.0</v>
      </c>
      <c r="B414" s="10" t="s">
        <v>1248</v>
      </c>
      <c r="C414" s="11" t="s">
        <v>1249</v>
      </c>
      <c r="D414" s="12" t="s">
        <v>1250</v>
      </c>
      <c r="E414" s="12"/>
      <c r="F414" s="12">
        <v>2019.0</v>
      </c>
      <c r="G414" s="14" t="s">
        <v>21</v>
      </c>
      <c r="H414" s="9"/>
      <c r="I414" s="11" t="s">
        <v>204</v>
      </c>
      <c r="J414" s="17"/>
      <c r="K414" s="9" t="s">
        <v>23</v>
      </c>
      <c r="L414" s="9" t="s">
        <v>24</v>
      </c>
      <c r="M414" s="11" t="s">
        <v>25</v>
      </c>
      <c r="N414" s="11" t="s">
        <v>26</v>
      </c>
      <c r="O414" s="9" t="s">
        <v>27</v>
      </c>
      <c r="P414" s="15">
        <f t="shared" si="5"/>
        <v>0</v>
      </c>
      <c r="Q414" s="16">
        <f t="shared" si="2"/>
        <v>0</v>
      </c>
      <c r="R414" s="6"/>
      <c r="S414" s="6"/>
      <c r="T414" s="6"/>
      <c r="U414" s="6"/>
      <c r="V414" s="6"/>
      <c r="W414" s="6"/>
      <c r="X414" s="6"/>
      <c r="Y414" s="6"/>
    </row>
    <row r="415" ht="31.5" customHeight="1">
      <c r="A415" s="17">
        <v>413.0</v>
      </c>
      <c r="B415" s="10" t="s">
        <v>1251</v>
      </c>
      <c r="C415" s="11" t="s">
        <v>1252</v>
      </c>
      <c r="D415" s="12" t="s">
        <v>1253</v>
      </c>
      <c r="E415" s="12"/>
      <c r="F415" s="12">
        <v>2019.0</v>
      </c>
      <c r="G415" s="14" t="s">
        <v>21</v>
      </c>
      <c r="H415" s="9"/>
      <c r="I415" s="11" t="s">
        <v>204</v>
      </c>
      <c r="J415" s="17"/>
      <c r="K415" s="9" t="s">
        <v>23</v>
      </c>
      <c r="L415" s="9" t="s">
        <v>24</v>
      </c>
      <c r="M415" s="11" t="s">
        <v>25</v>
      </c>
      <c r="N415" s="11" t="s">
        <v>26</v>
      </c>
      <c r="O415" s="9" t="s">
        <v>27</v>
      </c>
      <c r="P415" s="15">
        <f t="shared" si="5"/>
        <v>0</v>
      </c>
      <c r="Q415" s="16">
        <f t="shared" si="2"/>
        <v>0</v>
      </c>
      <c r="R415" s="6"/>
      <c r="S415" s="6"/>
      <c r="T415" s="6"/>
      <c r="U415" s="6"/>
      <c r="V415" s="6"/>
      <c r="W415" s="6"/>
      <c r="X415" s="6"/>
      <c r="Y415" s="6"/>
    </row>
    <row r="416" ht="31.5" customHeight="1">
      <c r="A416" s="17">
        <v>414.0</v>
      </c>
      <c r="B416" s="10" t="s">
        <v>1254</v>
      </c>
      <c r="C416" s="11" t="s">
        <v>1255</v>
      </c>
      <c r="D416" s="12" t="s">
        <v>1256</v>
      </c>
      <c r="E416" s="12"/>
      <c r="F416" s="12">
        <v>2019.0</v>
      </c>
      <c r="G416" s="14" t="s">
        <v>21</v>
      </c>
      <c r="H416" s="9"/>
      <c r="I416" s="11" t="s">
        <v>204</v>
      </c>
      <c r="J416" s="17"/>
      <c r="K416" s="9" t="s">
        <v>23</v>
      </c>
      <c r="L416" s="9" t="s">
        <v>24</v>
      </c>
      <c r="M416" s="11" t="s">
        <v>25</v>
      </c>
      <c r="N416" s="11" t="s">
        <v>26</v>
      </c>
      <c r="O416" s="9" t="s">
        <v>27</v>
      </c>
      <c r="P416" s="15">
        <f t="shared" si="5"/>
        <v>0</v>
      </c>
      <c r="Q416" s="16">
        <f t="shared" si="2"/>
        <v>0</v>
      </c>
      <c r="R416" s="6"/>
      <c r="S416" s="6"/>
      <c r="T416" s="6"/>
      <c r="U416" s="6"/>
      <c r="V416" s="6"/>
      <c r="W416" s="6"/>
      <c r="X416" s="6"/>
      <c r="Y416" s="6"/>
    </row>
    <row r="417" ht="31.5" customHeight="1">
      <c r="A417" s="17">
        <v>415.0</v>
      </c>
      <c r="B417" s="10" t="s">
        <v>1257</v>
      </c>
      <c r="C417" s="11" t="s">
        <v>1151</v>
      </c>
      <c r="D417" s="12" t="s">
        <v>1258</v>
      </c>
      <c r="E417" s="13" t="s">
        <v>1259</v>
      </c>
      <c r="F417" s="12">
        <v>2019.0</v>
      </c>
      <c r="G417" s="14" t="s">
        <v>21</v>
      </c>
      <c r="H417" s="9"/>
      <c r="I417" s="11" t="s">
        <v>204</v>
      </c>
      <c r="J417" s="17"/>
      <c r="K417" s="9" t="s">
        <v>23</v>
      </c>
      <c r="L417" s="9" t="s">
        <v>24</v>
      </c>
      <c r="M417" s="11" t="s">
        <v>25</v>
      </c>
      <c r="N417" s="11" t="s">
        <v>26</v>
      </c>
      <c r="O417" s="9" t="s">
        <v>27</v>
      </c>
      <c r="P417" s="15">
        <f t="shared" si="5"/>
        <v>0</v>
      </c>
      <c r="Q417" s="16">
        <f t="shared" si="2"/>
        <v>0</v>
      </c>
      <c r="R417" s="6"/>
      <c r="S417" s="6"/>
      <c r="T417" s="6"/>
      <c r="U417" s="6"/>
      <c r="V417" s="6"/>
      <c r="W417" s="6"/>
      <c r="X417" s="6"/>
      <c r="Y417" s="6"/>
    </row>
    <row r="418" ht="31.5" customHeight="1">
      <c r="A418" s="17">
        <v>416.0</v>
      </c>
      <c r="B418" s="10" t="s">
        <v>1260</v>
      </c>
      <c r="C418" s="11" t="s">
        <v>1261</v>
      </c>
      <c r="D418" s="12" t="s">
        <v>1262</v>
      </c>
      <c r="E418" s="12"/>
      <c r="F418" s="12">
        <v>2019.0</v>
      </c>
      <c r="G418" s="14" t="s">
        <v>21</v>
      </c>
      <c r="H418" s="9"/>
      <c r="I418" s="11" t="s">
        <v>204</v>
      </c>
      <c r="J418" s="17"/>
      <c r="K418" s="9" t="s">
        <v>23</v>
      </c>
      <c r="L418" s="9" t="s">
        <v>24</v>
      </c>
      <c r="M418" s="11" t="s">
        <v>25</v>
      </c>
      <c r="N418" s="11" t="s">
        <v>26</v>
      </c>
      <c r="O418" s="9" t="s">
        <v>27</v>
      </c>
      <c r="P418" s="15">
        <f t="shared" si="5"/>
        <v>0</v>
      </c>
      <c r="Q418" s="16">
        <f t="shared" si="2"/>
        <v>0</v>
      </c>
      <c r="R418" s="6"/>
      <c r="S418" s="6"/>
      <c r="T418" s="6"/>
      <c r="U418" s="6"/>
      <c r="V418" s="6"/>
      <c r="W418" s="6"/>
      <c r="X418" s="6"/>
      <c r="Y418" s="6"/>
    </row>
    <row r="419" ht="31.5" customHeight="1">
      <c r="A419" s="17">
        <v>417.0</v>
      </c>
      <c r="B419" s="10" t="s">
        <v>1263</v>
      </c>
      <c r="C419" s="11" t="s">
        <v>1264</v>
      </c>
      <c r="D419" s="12" t="s">
        <v>1265</v>
      </c>
      <c r="E419" s="12"/>
      <c r="F419" s="12">
        <v>2019.0</v>
      </c>
      <c r="G419" s="14" t="s">
        <v>21</v>
      </c>
      <c r="H419" s="9"/>
      <c r="I419" s="11" t="s">
        <v>204</v>
      </c>
      <c r="J419" s="17"/>
      <c r="K419" s="9" t="s">
        <v>23</v>
      </c>
      <c r="L419" s="9" t="s">
        <v>24</v>
      </c>
      <c r="M419" s="11" t="s">
        <v>25</v>
      </c>
      <c r="N419" s="11" t="s">
        <v>26</v>
      </c>
      <c r="O419" s="9" t="s">
        <v>27</v>
      </c>
      <c r="P419" s="15">
        <f t="shared" si="5"/>
        <v>0</v>
      </c>
      <c r="Q419" s="16">
        <f t="shared" si="2"/>
        <v>0</v>
      </c>
      <c r="R419" s="6"/>
      <c r="S419" s="6"/>
      <c r="T419" s="6"/>
      <c r="U419" s="6"/>
      <c r="V419" s="6"/>
      <c r="W419" s="6"/>
      <c r="X419" s="6"/>
      <c r="Y419" s="6"/>
    </row>
    <row r="420" ht="31.5" customHeight="1">
      <c r="A420" s="17">
        <v>418.0</v>
      </c>
      <c r="B420" s="10" t="s">
        <v>1266</v>
      </c>
      <c r="C420" s="11" t="s">
        <v>1267</v>
      </c>
      <c r="D420" s="12" t="s">
        <v>1268</v>
      </c>
      <c r="E420" s="12"/>
      <c r="F420" s="12">
        <v>2019.0</v>
      </c>
      <c r="G420" s="14" t="s">
        <v>21</v>
      </c>
      <c r="H420" s="9"/>
      <c r="I420" s="11" t="s">
        <v>204</v>
      </c>
      <c r="J420" s="17"/>
      <c r="K420" s="9" t="s">
        <v>23</v>
      </c>
      <c r="L420" s="9" t="s">
        <v>24</v>
      </c>
      <c r="M420" s="11" t="s">
        <v>25</v>
      </c>
      <c r="N420" s="11" t="s">
        <v>26</v>
      </c>
      <c r="O420" s="9" t="s">
        <v>27</v>
      </c>
      <c r="P420" s="15">
        <f t="shared" si="5"/>
        <v>0</v>
      </c>
      <c r="Q420" s="16">
        <f t="shared" si="2"/>
        <v>0</v>
      </c>
      <c r="R420" s="6"/>
      <c r="S420" s="6"/>
      <c r="T420" s="6"/>
      <c r="U420" s="6"/>
      <c r="V420" s="6"/>
      <c r="W420" s="6"/>
      <c r="X420" s="6"/>
      <c r="Y420" s="6"/>
    </row>
    <row r="421" ht="31.5" customHeight="1">
      <c r="A421" s="17">
        <v>419.0</v>
      </c>
      <c r="B421" s="10" t="s">
        <v>1269</v>
      </c>
      <c r="C421" s="11" t="s">
        <v>1270</v>
      </c>
      <c r="D421" s="12" t="s">
        <v>1271</v>
      </c>
      <c r="E421" s="12"/>
      <c r="F421" s="12">
        <v>2019.0</v>
      </c>
      <c r="G421" s="14" t="s">
        <v>21</v>
      </c>
      <c r="H421" s="9"/>
      <c r="I421" s="11" t="s">
        <v>204</v>
      </c>
      <c r="J421" s="17"/>
      <c r="K421" s="9" t="s">
        <v>23</v>
      </c>
      <c r="L421" s="9" t="s">
        <v>24</v>
      </c>
      <c r="M421" s="11" t="s">
        <v>25</v>
      </c>
      <c r="N421" s="11" t="s">
        <v>26</v>
      </c>
      <c r="O421" s="9" t="s">
        <v>27</v>
      </c>
      <c r="P421" s="15">
        <f t="shared" si="5"/>
        <v>0</v>
      </c>
      <c r="Q421" s="16">
        <f t="shared" si="2"/>
        <v>0</v>
      </c>
      <c r="R421" s="6"/>
      <c r="S421" s="6"/>
      <c r="T421" s="6"/>
      <c r="U421" s="6"/>
      <c r="V421" s="6"/>
      <c r="W421" s="6"/>
      <c r="X421" s="6"/>
      <c r="Y421" s="6"/>
    </row>
    <row r="422" ht="31.5" customHeight="1">
      <c r="A422" s="17">
        <v>420.0</v>
      </c>
      <c r="B422" s="10" t="s">
        <v>1272</v>
      </c>
      <c r="C422" s="11" t="s">
        <v>1273</v>
      </c>
      <c r="D422" s="12" t="s">
        <v>1274</v>
      </c>
      <c r="E422" s="12"/>
      <c r="F422" s="12">
        <v>2019.0</v>
      </c>
      <c r="G422" s="14" t="s">
        <v>21</v>
      </c>
      <c r="H422" s="9"/>
      <c r="I422" s="11" t="s">
        <v>204</v>
      </c>
      <c r="J422" s="17"/>
      <c r="K422" s="9" t="s">
        <v>23</v>
      </c>
      <c r="L422" s="9" t="s">
        <v>24</v>
      </c>
      <c r="M422" s="11" t="s">
        <v>25</v>
      </c>
      <c r="N422" s="11" t="s">
        <v>26</v>
      </c>
      <c r="O422" s="9" t="s">
        <v>27</v>
      </c>
      <c r="P422" s="15">
        <f t="shared" si="5"/>
        <v>0</v>
      </c>
      <c r="Q422" s="16">
        <f t="shared" si="2"/>
        <v>0</v>
      </c>
      <c r="R422" s="6"/>
      <c r="S422" s="6"/>
      <c r="T422" s="6"/>
      <c r="U422" s="6"/>
      <c r="V422" s="6"/>
      <c r="W422" s="6"/>
      <c r="X422" s="6"/>
      <c r="Y422" s="6"/>
    </row>
    <row r="423" ht="31.5" customHeight="1">
      <c r="A423" s="17">
        <v>421.0</v>
      </c>
      <c r="B423" s="10" t="s">
        <v>1275</v>
      </c>
      <c r="C423" s="11" t="s">
        <v>1276</v>
      </c>
      <c r="D423" s="12" t="s">
        <v>1277</v>
      </c>
      <c r="E423" s="12"/>
      <c r="F423" s="12">
        <v>2019.0</v>
      </c>
      <c r="G423" s="14" t="s">
        <v>21</v>
      </c>
      <c r="H423" s="9"/>
      <c r="I423" s="11" t="s">
        <v>204</v>
      </c>
      <c r="J423" s="17"/>
      <c r="K423" s="9" t="s">
        <v>23</v>
      </c>
      <c r="L423" s="9" t="s">
        <v>24</v>
      </c>
      <c r="M423" s="11" t="s">
        <v>25</v>
      </c>
      <c r="N423" s="11" t="s">
        <v>26</v>
      </c>
      <c r="O423" s="9" t="s">
        <v>27</v>
      </c>
      <c r="P423" s="15">
        <f t="shared" si="5"/>
        <v>0</v>
      </c>
      <c r="Q423" s="16">
        <f t="shared" si="2"/>
        <v>0</v>
      </c>
      <c r="R423" s="6"/>
      <c r="S423" s="6"/>
      <c r="T423" s="6"/>
      <c r="U423" s="6"/>
      <c r="V423" s="6"/>
      <c r="W423" s="6"/>
      <c r="X423" s="6"/>
      <c r="Y423" s="6"/>
    </row>
    <row r="424" ht="31.5" customHeight="1">
      <c r="A424" s="17">
        <v>422.0</v>
      </c>
      <c r="B424" s="10" t="s">
        <v>1278</v>
      </c>
      <c r="C424" s="11" t="s">
        <v>1279</v>
      </c>
      <c r="D424" s="12" t="s">
        <v>1280</v>
      </c>
      <c r="E424" s="12"/>
      <c r="F424" s="12">
        <v>2019.0</v>
      </c>
      <c r="G424" s="14" t="s">
        <v>21</v>
      </c>
      <c r="H424" s="9"/>
      <c r="I424" s="11" t="s">
        <v>204</v>
      </c>
      <c r="J424" s="17"/>
      <c r="K424" s="9" t="s">
        <v>23</v>
      </c>
      <c r="L424" s="9" t="s">
        <v>24</v>
      </c>
      <c r="M424" s="11" t="s">
        <v>25</v>
      </c>
      <c r="N424" s="11" t="s">
        <v>26</v>
      </c>
      <c r="O424" s="9" t="s">
        <v>27</v>
      </c>
      <c r="P424" s="15">
        <f t="shared" si="5"/>
        <v>0</v>
      </c>
      <c r="Q424" s="16">
        <f t="shared" si="2"/>
        <v>0</v>
      </c>
      <c r="R424" s="6"/>
      <c r="S424" s="6"/>
      <c r="T424" s="6"/>
      <c r="U424" s="6"/>
      <c r="V424" s="6"/>
      <c r="W424" s="6"/>
      <c r="X424" s="6"/>
      <c r="Y424" s="6"/>
    </row>
    <row r="425" ht="31.5" customHeight="1">
      <c r="A425" s="17">
        <v>423.0</v>
      </c>
      <c r="B425" s="10" t="s">
        <v>1281</v>
      </c>
      <c r="C425" s="11" t="s">
        <v>1282</v>
      </c>
      <c r="D425" s="12" t="s">
        <v>1283</v>
      </c>
      <c r="E425" s="12"/>
      <c r="F425" s="12">
        <v>2019.0</v>
      </c>
      <c r="G425" s="14" t="s">
        <v>21</v>
      </c>
      <c r="H425" s="9"/>
      <c r="I425" s="11" t="s">
        <v>204</v>
      </c>
      <c r="J425" s="17"/>
      <c r="K425" s="9" t="s">
        <v>23</v>
      </c>
      <c r="L425" s="9" t="s">
        <v>24</v>
      </c>
      <c r="M425" s="11" t="s">
        <v>25</v>
      </c>
      <c r="N425" s="11" t="s">
        <v>26</v>
      </c>
      <c r="O425" s="9" t="s">
        <v>27</v>
      </c>
      <c r="P425" s="15">
        <f t="shared" si="5"/>
        <v>0</v>
      </c>
      <c r="Q425" s="16">
        <f t="shared" si="2"/>
        <v>0</v>
      </c>
      <c r="R425" s="6"/>
      <c r="S425" s="6"/>
      <c r="T425" s="6"/>
      <c r="U425" s="6"/>
      <c r="V425" s="6"/>
      <c r="W425" s="6"/>
      <c r="X425" s="6"/>
      <c r="Y425" s="6"/>
    </row>
    <row r="426" ht="31.5" customHeight="1">
      <c r="A426" s="17">
        <v>424.0</v>
      </c>
      <c r="B426" s="10" t="s">
        <v>1284</v>
      </c>
      <c r="C426" s="11" t="s">
        <v>1285</v>
      </c>
      <c r="D426" s="12" t="s">
        <v>1286</v>
      </c>
      <c r="E426" s="12"/>
      <c r="F426" s="12">
        <v>2019.0</v>
      </c>
      <c r="G426" s="14" t="s">
        <v>21</v>
      </c>
      <c r="H426" s="9"/>
      <c r="I426" s="11" t="s">
        <v>204</v>
      </c>
      <c r="J426" s="17"/>
      <c r="K426" s="9" t="s">
        <v>23</v>
      </c>
      <c r="L426" s="9" t="s">
        <v>24</v>
      </c>
      <c r="M426" s="11" t="s">
        <v>25</v>
      </c>
      <c r="N426" s="11" t="s">
        <v>26</v>
      </c>
      <c r="O426" s="9" t="s">
        <v>27</v>
      </c>
      <c r="P426" s="15">
        <f t="shared" si="5"/>
        <v>0</v>
      </c>
      <c r="Q426" s="16">
        <f t="shared" si="2"/>
        <v>0</v>
      </c>
      <c r="R426" s="6"/>
      <c r="S426" s="6"/>
      <c r="T426" s="6"/>
      <c r="U426" s="6"/>
      <c r="V426" s="6"/>
      <c r="W426" s="6"/>
      <c r="X426" s="6"/>
      <c r="Y426" s="6"/>
    </row>
    <row r="427" ht="31.5" customHeight="1">
      <c r="A427" s="17">
        <v>425.0</v>
      </c>
      <c r="B427" s="10" t="s">
        <v>1287</v>
      </c>
      <c r="C427" s="11" t="s">
        <v>1288</v>
      </c>
      <c r="D427" s="12" t="s">
        <v>1289</v>
      </c>
      <c r="E427" s="12"/>
      <c r="F427" s="12">
        <v>2019.0</v>
      </c>
      <c r="G427" s="14" t="s">
        <v>21</v>
      </c>
      <c r="H427" s="9"/>
      <c r="I427" s="11" t="s">
        <v>204</v>
      </c>
      <c r="J427" s="17"/>
      <c r="K427" s="9" t="s">
        <v>23</v>
      </c>
      <c r="L427" s="9" t="s">
        <v>24</v>
      </c>
      <c r="M427" s="11" t="s">
        <v>25</v>
      </c>
      <c r="N427" s="11" t="s">
        <v>26</v>
      </c>
      <c r="O427" s="9" t="s">
        <v>27</v>
      </c>
      <c r="P427" s="15">
        <f t="shared" si="5"/>
        <v>0</v>
      </c>
      <c r="Q427" s="16">
        <f t="shared" si="2"/>
        <v>0</v>
      </c>
      <c r="R427" s="6"/>
      <c r="S427" s="6"/>
      <c r="T427" s="6"/>
      <c r="U427" s="6"/>
      <c r="V427" s="6"/>
      <c r="W427" s="6"/>
      <c r="X427" s="6"/>
      <c r="Y427" s="6"/>
    </row>
    <row r="428" ht="31.5" customHeight="1">
      <c r="A428" s="17">
        <v>426.0</v>
      </c>
      <c r="B428" s="10" t="s">
        <v>1290</v>
      </c>
      <c r="C428" s="11" t="s">
        <v>1291</v>
      </c>
      <c r="D428" s="12" t="s">
        <v>1292</v>
      </c>
      <c r="E428" s="12"/>
      <c r="F428" s="12">
        <v>2019.0</v>
      </c>
      <c r="G428" s="14" t="s">
        <v>21</v>
      </c>
      <c r="H428" s="9"/>
      <c r="I428" s="11" t="s">
        <v>204</v>
      </c>
      <c r="J428" s="17"/>
      <c r="K428" s="9" t="s">
        <v>23</v>
      </c>
      <c r="L428" s="9" t="s">
        <v>24</v>
      </c>
      <c r="M428" s="11" t="s">
        <v>25</v>
      </c>
      <c r="N428" s="11" t="s">
        <v>26</v>
      </c>
      <c r="O428" s="9" t="s">
        <v>27</v>
      </c>
      <c r="P428" s="15">
        <f t="shared" si="5"/>
        <v>0</v>
      </c>
      <c r="Q428" s="16">
        <f t="shared" si="2"/>
        <v>0</v>
      </c>
      <c r="R428" s="6"/>
      <c r="S428" s="6"/>
      <c r="T428" s="6"/>
      <c r="U428" s="6"/>
      <c r="V428" s="6"/>
      <c r="W428" s="6"/>
      <c r="X428" s="6"/>
      <c r="Y428" s="6"/>
    </row>
    <row r="429" ht="31.5" customHeight="1">
      <c r="A429" s="17">
        <v>427.0</v>
      </c>
      <c r="B429" s="10" t="s">
        <v>1293</v>
      </c>
      <c r="C429" s="11" t="s">
        <v>1294</v>
      </c>
      <c r="D429" s="12" t="s">
        <v>1295</v>
      </c>
      <c r="E429" s="12"/>
      <c r="F429" s="12">
        <v>2019.0</v>
      </c>
      <c r="G429" s="14" t="s">
        <v>21</v>
      </c>
      <c r="H429" s="9"/>
      <c r="I429" s="11" t="s">
        <v>204</v>
      </c>
      <c r="J429" s="17"/>
      <c r="K429" s="9" t="s">
        <v>23</v>
      </c>
      <c r="L429" s="9" t="s">
        <v>24</v>
      </c>
      <c r="M429" s="11" t="s">
        <v>25</v>
      </c>
      <c r="N429" s="11" t="s">
        <v>26</v>
      </c>
      <c r="O429" s="9" t="s">
        <v>27</v>
      </c>
      <c r="P429" s="15">
        <f t="shared" si="5"/>
        <v>0</v>
      </c>
      <c r="Q429" s="16">
        <f t="shared" si="2"/>
        <v>0</v>
      </c>
      <c r="R429" s="6"/>
      <c r="S429" s="6"/>
      <c r="T429" s="6"/>
      <c r="U429" s="6"/>
      <c r="V429" s="6"/>
      <c r="W429" s="6"/>
      <c r="X429" s="6"/>
      <c r="Y429" s="6"/>
    </row>
    <row r="430" ht="31.5" customHeight="1">
      <c r="A430" s="19"/>
      <c r="B430" s="20"/>
      <c r="C430" s="21"/>
      <c r="D430" s="22"/>
      <c r="E430" s="22"/>
      <c r="F430" s="22"/>
      <c r="G430" s="23"/>
      <c r="H430" s="23"/>
      <c r="I430" s="21"/>
      <c r="J430" s="19"/>
      <c r="K430" s="23"/>
      <c r="L430" s="23"/>
      <c r="M430" s="21"/>
      <c r="N430" s="21"/>
      <c r="O430" s="23"/>
      <c r="P430" s="24"/>
      <c r="Q430" s="6"/>
      <c r="R430" s="6"/>
      <c r="S430" s="6"/>
      <c r="T430" s="6"/>
      <c r="U430" s="6"/>
      <c r="V430" s="6"/>
      <c r="W430" s="6"/>
      <c r="X430" s="6"/>
      <c r="Y430" s="6"/>
    </row>
    <row r="431" ht="31.5" customHeight="1">
      <c r="A431" s="19"/>
      <c r="B431" s="20"/>
      <c r="C431" s="21"/>
      <c r="D431" s="22"/>
      <c r="E431" s="22"/>
      <c r="F431" s="22"/>
      <c r="G431" s="23"/>
      <c r="H431" s="23"/>
      <c r="I431" s="21"/>
      <c r="J431" s="19"/>
      <c r="K431" s="23"/>
      <c r="L431" s="23"/>
      <c r="M431" s="21"/>
      <c r="N431" s="21"/>
      <c r="O431" s="23"/>
      <c r="P431" s="24"/>
      <c r="Q431" s="6"/>
      <c r="R431" s="6"/>
      <c r="S431" s="6"/>
      <c r="T431" s="6"/>
      <c r="U431" s="6"/>
      <c r="V431" s="6"/>
      <c r="W431" s="6"/>
      <c r="X431" s="6"/>
      <c r="Y431" s="6"/>
    </row>
    <row r="432" ht="31.5" customHeight="1">
      <c r="A432" s="19"/>
      <c r="B432" s="20"/>
      <c r="C432" s="21"/>
      <c r="D432" s="22"/>
      <c r="E432" s="22"/>
      <c r="F432" s="22"/>
      <c r="G432" s="23"/>
      <c r="H432" s="23"/>
      <c r="I432" s="21"/>
      <c r="J432" s="19"/>
      <c r="K432" s="23"/>
      <c r="L432" s="23"/>
      <c r="M432" s="21"/>
      <c r="N432" s="21"/>
      <c r="O432" s="23"/>
      <c r="P432" s="24"/>
      <c r="Q432" s="6"/>
      <c r="R432" s="6"/>
      <c r="S432" s="6"/>
      <c r="T432" s="6"/>
      <c r="U432" s="6"/>
      <c r="V432" s="6"/>
      <c r="W432" s="6"/>
      <c r="X432" s="6"/>
      <c r="Y432" s="6"/>
    </row>
    <row r="433" ht="31.5" customHeight="1">
      <c r="A433" s="19"/>
      <c r="B433" s="20"/>
      <c r="C433" s="21"/>
      <c r="D433" s="22"/>
      <c r="E433" s="22"/>
      <c r="F433" s="22"/>
      <c r="G433" s="23"/>
      <c r="H433" s="23"/>
      <c r="I433" s="21"/>
      <c r="J433" s="19"/>
      <c r="K433" s="23"/>
      <c r="L433" s="23"/>
      <c r="M433" s="21"/>
      <c r="N433" s="21"/>
      <c r="O433" s="23"/>
      <c r="P433" s="24"/>
      <c r="Q433" s="6"/>
      <c r="R433" s="6"/>
      <c r="S433" s="6"/>
      <c r="T433" s="6"/>
      <c r="U433" s="6"/>
      <c r="V433" s="6"/>
      <c r="W433" s="6"/>
      <c r="X433" s="6"/>
      <c r="Y433" s="6"/>
    </row>
    <row r="434" ht="31.5" customHeight="1">
      <c r="A434" s="19"/>
      <c r="B434" s="20"/>
      <c r="C434" s="21"/>
      <c r="D434" s="22"/>
      <c r="E434" s="22"/>
      <c r="F434" s="22"/>
      <c r="G434" s="23"/>
      <c r="H434" s="23"/>
      <c r="I434" s="21"/>
      <c r="J434" s="19"/>
      <c r="K434" s="23"/>
      <c r="L434" s="23"/>
      <c r="M434" s="21"/>
      <c r="N434" s="21"/>
      <c r="O434" s="23"/>
      <c r="P434" s="24"/>
      <c r="Q434" s="6"/>
      <c r="R434" s="6"/>
      <c r="S434" s="6"/>
      <c r="T434" s="6"/>
      <c r="U434" s="6"/>
      <c r="V434" s="6"/>
      <c r="W434" s="6"/>
      <c r="X434" s="6"/>
      <c r="Y434" s="6"/>
    </row>
    <row r="435" ht="31.5" customHeight="1">
      <c r="A435" s="19"/>
      <c r="B435" s="20"/>
      <c r="C435" s="21"/>
      <c r="D435" s="22"/>
      <c r="E435" s="22"/>
      <c r="F435" s="22"/>
      <c r="G435" s="23"/>
      <c r="H435" s="23"/>
      <c r="I435" s="21"/>
      <c r="J435" s="19"/>
      <c r="K435" s="23"/>
      <c r="L435" s="23"/>
      <c r="M435" s="21"/>
      <c r="N435" s="21"/>
      <c r="O435" s="23"/>
      <c r="P435" s="24"/>
      <c r="Q435" s="6"/>
      <c r="R435" s="6"/>
      <c r="S435" s="6"/>
      <c r="T435" s="6"/>
      <c r="U435" s="6"/>
      <c r="V435" s="6"/>
      <c r="W435" s="6"/>
      <c r="X435" s="6"/>
      <c r="Y435" s="6"/>
    </row>
    <row r="436" ht="31.5" customHeight="1">
      <c r="A436" s="19"/>
      <c r="B436" s="20"/>
      <c r="C436" s="21"/>
      <c r="D436" s="22"/>
      <c r="E436" s="22"/>
      <c r="F436" s="22"/>
      <c r="G436" s="23"/>
      <c r="H436" s="23"/>
      <c r="I436" s="21"/>
      <c r="J436" s="19"/>
      <c r="K436" s="23"/>
      <c r="L436" s="23"/>
      <c r="M436" s="21"/>
      <c r="N436" s="21"/>
      <c r="O436" s="23"/>
      <c r="P436" s="24"/>
      <c r="Q436" s="6"/>
      <c r="R436" s="6"/>
      <c r="S436" s="6"/>
      <c r="T436" s="6"/>
      <c r="U436" s="6"/>
      <c r="V436" s="6"/>
      <c r="W436" s="6"/>
      <c r="X436" s="6"/>
      <c r="Y436" s="6"/>
    </row>
    <row r="437" ht="31.5" customHeight="1">
      <c r="A437" s="19"/>
      <c r="B437" s="20"/>
      <c r="C437" s="21"/>
      <c r="D437" s="22"/>
      <c r="E437" s="22"/>
      <c r="F437" s="22"/>
      <c r="G437" s="23"/>
      <c r="H437" s="23"/>
      <c r="I437" s="21"/>
      <c r="J437" s="19"/>
      <c r="K437" s="23"/>
      <c r="L437" s="23"/>
      <c r="M437" s="21"/>
      <c r="N437" s="21"/>
      <c r="O437" s="23"/>
      <c r="P437" s="24"/>
      <c r="Q437" s="6"/>
      <c r="R437" s="6"/>
      <c r="S437" s="6"/>
      <c r="T437" s="6"/>
      <c r="U437" s="6"/>
      <c r="V437" s="6"/>
      <c r="W437" s="6"/>
      <c r="X437" s="6"/>
      <c r="Y437" s="6"/>
    </row>
    <row r="438" ht="31.5" customHeight="1">
      <c r="A438" s="19"/>
      <c r="B438" s="20"/>
      <c r="C438" s="21"/>
      <c r="D438" s="22"/>
      <c r="E438" s="22"/>
      <c r="F438" s="22"/>
      <c r="G438" s="23"/>
      <c r="H438" s="23"/>
      <c r="I438" s="21"/>
      <c r="J438" s="19"/>
      <c r="K438" s="23"/>
      <c r="L438" s="23"/>
      <c r="M438" s="21"/>
      <c r="N438" s="21"/>
      <c r="O438" s="23"/>
      <c r="P438" s="24"/>
      <c r="Q438" s="6"/>
      <c r="R438" s="6"/>
      <c r="S438" s="6"/>
      <c r="T438" s="6"/>
      <c r="U438" s="6"/>
      <c r="V438" s="6"/>
      <c r="W438" s="6"/>
      <c r="X438" s="6"/>
      <c r="Y438" s="6"/>
    </row>
    <row r="439" ht="31.5" customHeight="1">
      <c r="A439" s="19"/>
      <c r="B439" s="20"/>
      <c r="C439" s="21"/>
      <c r="D439" s="22"/>
      <c r="E439" s="22"/>
      <c r="F439" s="22"/>
      <c r="G439" s="23"/>
      <c r="H439" s="23"/>
      <c r="I439" s="21"/>
      <c r="J439" s="19"/>
      <c r="K439" s="23"/>
      <c r="L439" s="23"/>
      <c r="M439" s="21"/>
      <c r="N439" s="21"/>
      <c r="O439" s="23"/>
      <c r="P439" s="24"/>
      <c r="Q439" s="6"/>
      <c r="R439" s="6"/>
      <c r="S439" s="6"/>
      <c r="T439" s="6"/>
      <c r="U439" s="6"/>
      <c r="V439" s="6"/>
      <c r="W439" s="6"/>
      <c r="X439" s="6"/>
      <c r="Y439" s="6"/>
    </row>
    <row r="440" ht="31.5" customHeight="1">
      <c r="A440" s="19"/>
      <c r="B440" s="20"/>
      <c r="C440" s="21"/>
      <c r="D440" s="22"/>
      <c r="E440" s="22"/>
      <c r="F440" s="22"/>
      <c r="G440" s="23"/>
      <c r="H440" s="23"/>
      <c r="I440" s="21"/>
      <c r="J440" s="19"/>
      <c r="K440" s="23"/>
      <c r="L440" s="23"/>
      <c r="M440" s="21"/>
      <c r="N440" s="21"/>
      <c r="O440" s="23"/>
      <c r="P440" s="24"/>
      <c r="Q440" s="6"/>
      <c r="R440" s="6"/>
      <c r="S440" s="6"/>
      <c r="T440" s="6"/>
      <c r="U440" s="6"/>
      <c r="V440" s="6"/>
      <c r="W440" s="6"/>
      <c r="X440" s="6"/>
      <c r="Y440" s="6"/>
    </row>
    <row r="441" ht="31.5" customHeight="1">
      <c r="A441" s="19"/>
      <c r="B441" s="20"/>
      <c r="C441" s="21"/>
      <c r="D441" s="22"/>
      <c r="E441" s="22"/>
      <c r="F441" s="22"/>
      <c r="G441" s="23"/>
      <c r="H441" s="23"/>
      <c r="I441" s="21"/>
      <c r="J441" s="19"/>
      <c r="K441" s="23"/>
      <c r="L441" s="23"/>
      <c r="M441" s="21"/>
      <c r="N441" s="21"/>
      <c r="O441" s="23"/>
      <c r="P441" s="24"/>
      <c r="Q441" s="6"/>
      <c r="R441" s="6"/>
      <c r="S441" s="6"/>
      <c r="T441" s="6"/>
      <c r="U441" s="6"/>
      <c r="V441" s="6"/>
      <c r="W441" s="6"/>
      <c r="X441" s="6"/>
      <c r="Y441" s="6"/>
    </row>
    <row r="442" ht="31.5" customHeight="1">
      <c r="A442" s="19"/>
      <c r="B442" s="20"/>
      <c r="C442" s="21"/>
      <c r="D442" s="22"/>
      <c r="E442" s="22"/>
      <c r="F442" s="22"/>
      <c r="G442" s="23"/>
      <c r="H442" s="23"/>
      <c r="I442" s="21"/>
      <c r="J442" s="19"/>
      <c r="K442" s="23"/>
      <c r="L442" s="23"/>
      <c r="M442" s="21"/>
      <c r="N442" s="21"/>
      <c r="O442" s="23"/>
      <c r="P442" s="24"/>
      <c r="Q442" s="6"/>
      <c r="R442" s="6"/>
      <c r="S442" s="6"/>
      <c r="T442" s="6"/>
      <c r="U442" s="6"/>
      <c r="V442" s="6"/>
      <c r="W442" s="6"/>
      <c r="X442" s="6"/>
      <c r="Y442" s="6"/>
    </row>
    <row r="443" ht="31.5" customHeight="1">
      <c r="A443" s="19"/>
      <c r="B443" s="20"/>
      <c r="C443" s="21"/>
      <c r="D443" s="22"/>
      <c r="E443" s="22"/>
      <c r="F443" s="22"/>
      <c r="G443" s="23"/>
      <c r="H443" s="23"/>
      <c r="I443" s="21"/>
      <c r="J443" s="19"/>
      <c r="K443" s="23"/>
      <c r="L443" s="23"/>
      <c r="M443" s="21"/>
      <c r="N443" s="21"/>
      <c r="O443" s="23"/>
      <c r="P443" s="24"/>
      <c r="Q443" s="6"/>
      <c r="R443" s="6"/>
      <c r="S443" s="6"/>
      <c r="T443" s="6"/>
      <c r="U443" s="6"/>
      <c r="V443" s="6"/>
      <c r="W443" s="6"/>
      <c r="X443" s="6"/>
      <c r="Y443" s="6"/>
    </row>
    <row r="444" ht="31.5" customHeight="1">
      <c r="A444" s="19"/>
      <c r="B444" s="20"/>
      <c r="C444" s="21"/>
      <c r="D444" s="22"/>
      <c r="E444" s="22"/>
      <c r="F444" s="22"/>
      <c r="G444" s="23"/>
      <c r="H444" s="23"/>
      <c r="I444" s="21"/>
      <c r="J444" s="19"/>
      <c r="K444" s="23"/>
      <c r="L444" s="23"/>
      <c r="M444" s="21"/>
      <c r="N444" s="21"/>
      <c r="O444" s="23"/>
      <c r="P444" s="24"/>
      <c r="Q444" s="6"/>
      <c r="R444" s="6"/>
      <c r="S444" s="6"/>
      <c r="T444" s="6"/>
      <c r="U444" s="6"/>
      <c r="V444" s="6"/>
      <c r="W444" s="6"/>
      <c r="X444" s="6"/>
      <c r="Y444" s="6"/>
    </row>
    <row r="445" ht="31.5" customHeight="1">
      <c r="A445" s="19"/>
      <c r="B445" s="20"/>
      <c r="C445" s="21"/>
      <c r="D445" s="22"/>
      <c r="E445" s="22"/>
      <c r="F445" s="22"/>
      <c r="G445" s="23"/>
      <c r="H445" s="23"/>
      <c r="I445" s="21"/>
      <c r="J445" s="19"/>
      <c r="K445" s="23"/>
      <c r="L445" s="23"/>
      <c r="M445" s="21"/>
      <c r="N445" s="21"/>
      <c r="O445" s="23"/>
      <c r="P445" s="24"/>
      <c r="Q445" s="6"/>
      <c r="R445" s="6"/>
      <c r="S445" s="6"/>
      <c r="T445" s="6"/>
      <c r="U445" s="6"/>
      <c r="V445" s="6"/>
      <c r="W445" s="6"/>
      <c r="X445" s="6"/>
      <c r="Y445" s="6"/>
    </row>
    <row r="446" ht="31.5" customHeight="1">
      <c r="A446" s="19"/>
      <c r="B446" s="20"/>
      <c r="C446" s="21"/>
      <c r="D446" s="22"/>
      <c r="E446" s="22"/>
      <c r="F446" s="22"/>
      <c r="G446" s="23"/>
      <c r="H446" s="23"/>
      <c r="I446" s="21"/>
      <c r="J446" s="19"/>
      <c r="K446" s="23"/>
      <c r="L446" s="23"/>
      <c r="M446" s="21"/>
      <c r="N446" s="21"/>
      <c r="O446" s="23"/>
      <c r="P446" s="24"/>
      <c r="Q446" s="6"/>
      <c r="R446" s="6"/>
      <c r="S446" s="6"/>
      <c r="T446" s="6"/>
      <c r="U446" s="6"/>
      <c r="V446" s="6"/>
      <c r="W446" s="6"/>
      <c r="X446" s="6"/>
      <c r="Y446" s="6"/>
    </row>
    <row r="447" ht="31.5" customHeight="1">
      <c r="A447" s="19"/>
      <c r="B447" s="20"/>
      <c r="C447" s="21"/>
      <c r="D447" s="22"/>
      <c r="E447" s="22"/>
      <c r="F447" s="22"/>
      <c r="G447" s="23"/>
      <c r="H447" s="23"/>
      <c r="I447" s="21"/>
      <c r="J447" s="19"/>
      <c r="K447" s="23"/>
      <c r="L447" s="23"/>
      <c r="M447" s="21"/>
      <c r="N447" s="21"/>
      <c r="O447" s="23"/>
      <c r="P447" s="24"/>
      <c r="Q447" s="6"/>
      <c r="R447" s="6"/>
      <c r="S447" s="6"/>
      <c r="T447" s="6"/>
      <c r="U447" s="6"/>
      <c r="V447" s="6"/>
      <c r="W447" s="6"/>
      <c r="X447" s="6"/>
      <c r="Y447" s="6"/>
    </row>
    <row r="448" ht="31.5" customHeight="1">
      <c r="A448" s="19"/>
      <c r="B448" s="20"/>
      <c r="C448" s="21"/>
      <c r="D448" s="22"/>
      <c r="E448" s="22"/>
      <c r="F448" s="22"/>
      <c r="G448" s="23"/>
      <c r="H448" s="23"/>
      <c r="I448" s="21"/>
      <c r="J448" s="19"/>
      <c r="K448" s="23"/>
      <c r="L448" s="23"/>
      <c r="M448" s="21"/>
      <c r="N448" s="21"/>
      <c r="O448" s="23"/>
      <c r="P448" s="24"/>
      <c r="Q448" s="6"/>
      <c r="R448" s="6"/>
      <c r="S448" s="6"/>
      <c r="T448" s="6"/>
      <c r="U448" s="6"/>
      <c r="V448" s="6"/>
      <c r="W448" s="6"/>
      <c r="X448" s="6"/>
      <c r="Y448" s="6"/>
    </row>
    <row r="449" ht="31.5" customHeight="1">
      <c r="A449" s="19"/>
      <c r="B449" s="20"/>
      <c r="C449" s="21"/>
      <c r="D449" s="22"/>
      <c r="E449" s="22"/>
      <c r="F449" s="22"/>
      <c r="G449" s="23"/>
      <c r="H449" s="23"/>
      <c r="I449" s="21"/>
      <c r="J449" s="19"/>
      <c r="K449" s="23"/>
      <c r="L449" s="23"/>
      <c r="M449" s="21"/>
      <c r="N449" s="21"/>
      <c r="O449" s="23"/>
      <c r="P449" s="24"/>
      <c r="Q449" s="6"/>
      <c r="R449" s="6"/>
      <c r="S449" s="6"/>
      <c r="T449" s="6"/>
      <c r="U449" s="6"/>
      <c r="V449" s="6"/>
      <c r="W449" s="6"/>
      <c r="X449" s="6"/>
      <c r="Y449" s="6"/>
    </row>
    <row r="450" ht="31.5" customHeight="1">
      <c r="A450" s="19"/>
      <c r="B450" s="20"/>
      <c r="C450" s="21"/>
      <c r="D450" s="22"/>
      <c r="E450" s="22"/>
      <c r="F450" s="22"/>
      <c r="G450" s="23"/>
      <c r="H450" s="23"/>
      <c r="I450" s="21"/>
      <c r="J450" s="19"/>
      <c r="K450" s="23"/>
      <c r="L450" s="23"/>
      <c r="M450" s="21"/>
      <c r="N450" s="21"/>
      <c r="O450" s="23"/>
      <c r="P450" s="24"/>
      <c r="Q450" s="6"/>
      <c r="R450" s="6"/>
      <c r="S450" s="6"/>
      <c r="T450" s="6"/>
      <c r="U450" s="6"/>
      <c r="V450" s="6"/>
      <c r="W450" s="6"/>
      <c r="X450" s="6"/>
      <c r="Y450" s="6"/>
    </row>
    <row r="451" ht="31.5" customHeight="1">
      <c r="A451" s="19"/>
      <c r="B451" s="20"/>
      <c r="C451" s="21"/>
      <c r="D451" s="22"/>
      <c r="E451" s="22"/>
      <c r="F451" s="22"/>
      <c r="G451" s="23"/>
      <c r="H451" s="23"/>
      <c r="I451" s="21"/>
      <c r="J451" s="19"/>
      <c r="K451" s="23"/>
      <c r="L451" s="23"/>
      <c r="M451" s="21"/>
      <c r="N451" s="21"/>
      <c r="O451" s="23"/>
      <c r="P451" s="24"/>
      <c r="Q451" s="6"/>
      <c r="R451" s="6"/>
      <c r="S451" s="6"/>
      <c r="T451" s="6"/>
      <c r="U451" s="6"/>
      <c r="V451" s="6"/>
      <c r="W451" s="6"/>
      <c r="X451" s="6"/>
      <c r="Y451" s="6"/>
    </row>
    <row r="452" ht="31.5" customHeight="1">
      <c r="A452" s="19"/>
      <c r="B452" s="20"/>
      <c r="C452" s="21"/>
      <c r="D452" s="22"/>
      <c r="E452" s="22"/>
      <c r="F452" s="22"/>
      <c r="G452" s="23"/>
      <c r="H452" s="23"/>
      <c r="I452" s="21"/>
      <c r="J452" s="19"/>
      <c r="K452" s="23"/>
      <c r="L452" s="23"/>
      <c r="M452" s="21"/>
      <c r="N452" s="21"/>
      <c r="O452" s="23"/>
      <c r="P452" s="24"/>
      <c r="Q452" s="6"/>
      <c r="R452" s="6"/>
      <c r="S452" s="6"/>
      <c r="T452" s="6"/>
      <c r="U452" s="6"/>
      <c r="V452" s="6"/>
      <c r="W452" s="6"/>
      <c r="X452" s="6"/>
      <c r="Y452" s="6"/>
    </row>
    <row r="453" ht="31.5" customHeight="1">
      <c r="A453" s="19"/>
      <c r="B453" s="20"/>
      <c r="C453" s="21"/>
      <c r="D453" s="22"/>
      <c r="E453" s="22"/>
      <c r="F453" s="22"/>
      <c r="G453" s="23"/>
      <c r="H453" s="23"/>
      <c r="I453" s="21"/>
      <c r="J453" s="19"/>
      <c r="K453" s="23"/>
      <c r="L453" s="23"/>
      <c r="M453" s="21"/>
      <c r="N453" s="21"/>
      <c r="O453" s="23"/>
      <c r="P453" s="24"/>
      <c r="Q453" s="6"/>
      <c r="R453" s="6"/>
      <c r="S453" s="6"/>
      <c r="T453" s="6"/>
      <c r="U453" s="6"/>
      <c r="V453" s="6"/>
      <c r="W453" s="6"/>
      <c r="X453" s="6"/>
      <c r="Y453" s="6"/>
    </row>
    <row r="454" ht="31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25"/>
      <c r="Q454" s="6"/>
      <c r="R454" s="6"/>
      <c r="S454" s="6"/>
      <c r="T454" s="6"/>
      <c r="U454" s="6"/>
      <c r="V454" s="6"/>
      <c r="W454" s="6"/>
      <c r="X454" s="6"/>
      <c r="Y454" s="6"/>
    </row>
    <row r="455" ht="31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25"/>
      <c r="Q455" s="6"/>
      <c r="R455" s="6"/>
      <c r="S455" s="6"/>
      <c r="T455" s="6"/>
      <c r="U455" s="6"/>
      <c r="V455" s="6"/>
      <c r="W455" s="6"/>
      <c r="X455" s="6"/>
      <c r="Y455" s="6"/>
    </row>
    <row r="456" ht="31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25"/>
      <c r="Q456" s="6"/>
      <c r="R456" s="6"/>
      <c r="S456" s="6"/>
      <c r="T456" s="6"/>
      <c r="U456" s="6"/>
      <c r="V456" s="6"/>
      <c r="W456" s="6"/>
      <c r="X456" s="6"/>
      <c r="Y456" s="6"/>
    </row>
    <row r="457" ht="31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25"/>
      <c r="Q457" s="6"/>
      <c r="R457" s="6"/>
      <c r="S457" s="6"/>
      <c r="T457" s="6"/>
      <c r="U457" s="6"/>
      <c r="V457" s="6"/>
      <c r="W457" s="6"/>
      <c r="X457" s="6"/>
      <c r="Y457" s="6"/>
    </row>
    <row r="458" ht="31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25"/>
      <c r="Q458" s="6"/>
      <c r="R458" s="6"/>
      <c r="S458" s="6"/>
      <c r="T458" s="6"/>
      <c r="U458" s="6"/>
      <c r="V458" s="6"/>
      <c r="W458" s="6"/>
      <c r="X458" s="6"/>
      <c r="Y458" s="6"/>
    </row>
    <row r="459" ht="31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25"/>
      <c r="Q459" s="6"/>
      <c r="R459" s="6"/>
      <c r="S459" s="6"/>
      <c r="T459" s="6"/>
      <c r="U459" s="6"/>
      <c r="V459" s="6"/>
      <c r="W459" s="6"/>
      <c r="X459" s="6"/>
      <c r="Y459" s="6"/>
    </row>
    <row r="460" ht="31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25"/>
      <c r="Q460" s="6"/>
      <c r="R460" s="6"/>
      <c r="S460" s="6"/>
      <c r="T460" s="6"/>
      <c r="U460" s="6"/>
      <c r="V460" s="6"/>
      <c r="W460" s="6"/>
      <c r="X460" s="6"/>
      <c r="Y460" s="6"/>
    </row>
    <row r="461" ht="31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25"/>
      <c r="Q461" s="6"/>
      <c r="R461" s="6"/>
      <c r="S461" s="6"/>
      <c r="T461" s="6"/>
      <c r="U461" s="6"/>
      <c r="V461" s="6"/>
      <c r="W461" s="6"/>
      <c r="X461" s="6"/>
      <c r="Y461" s="6"/>
    </row>
    <row r="462" ht="31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25"/>
      <c r="Q462" s="6"/>
      <c r="R462" s="6"/>
      <c r="S462" s="6"/>
      <c r="T462" s="6"/>
      <c r="U462" s="6"/>
      <c r="V462" s="6"/>
      <c r="W462" s="6"/>
      <c r="X462" s="6"/>
      <c r="Y462" s="6"/>
    </row>
    <row r="463" ht="31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25"/>
      <c r="Q463" s="6"/>
      <c r="R463" s="6"/>
      <c r="S463" s="6"/>
      <c r="T463" s="6"/>
      <c r="U463" s="6"/>
      <c r="V463" s="6"/>
      <c r="W463" s="6"/>
      <c r="X463" s="6"/>
      <c r="Y463" s="6"/>
    </row>
    <row r="464" ht="31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25"/>
      <c r="Q464" s="6"/>
      <c r="R464" s="6"/>
      <c r="S464" s="6"/>
      <c r="T464" s="6"/>
      <c r="U464" s="6"/>
      <c r="V464" s="6"/>
      <c r="W464" s="6"/>
      <c r="X464" s="6"/>
      <c r="Y464" s="6"/>
    </row>
    <row r="465" ht="31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25"/>
      <c r="Q465" s="6"/>
      <c r="R465" s="6"/>
      <c r="S465" s="6"/>
      <c r="T465" s="6"/>
      <c r="U465" s="6"/>
      <c r="V465" s="6"/>
      <c r="W465" s="6"/>
      <c r="X465" s="6"/>
      <c r="Y465" s="6"/>
    </row>
    <row r="466" ht="31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25"/>
      <c r="Q466" s="6"/>
      <c r="R466" s="6"/>
      <c r="S466" s="6"/>
      <c r="T466" s="6"/>
      <c r="U466" s="6"/>
      <c r="V466" s="6"/>
      <c r="W466" s="6"/>
      <c r="X466" s="6"/>
      <c r="Y466" s="6"/>
    </row>
    <row r="467" ht="31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25"/>
      <c r="Q467" s="6"/>
      <c r="R467" s="6"/>
      <c r="S467" s="6"/>
      <c r="T467" s="6"/>
      <c r="U467" s="6"/>
      <c r="V467" s="6"/>
      <c r="W467" s="6"/>
      <c r="X467" s="6"/>
      <c r="Y467" s="6"/>
    </row>
    <row r="468" ht="31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25"/>
      <c r="Q468" s="6"/>
      <c r="R468" s="6"/>
      <c r="S468" s="6"/>
      <c r="T468" s="6"/>
      <c r="U468" s="6"/>
      <c r="V468" s="6"/>
      <c r="W468" s="6"/>
      <c r="X468" s="6"/>
      <c r="Y468" s="6"/>
    </row>
    <row r="469" ht="31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25"/>
      <c r="Q469" s="6"/>
      <c r="R469" s="6"/>
      <c r="S469" s="6"/>
      <c r="T469" s="6"/>
      <c r="U469" s="6"/>
      <c r="V469" s="6"/>
      <c r="W469" s="6"/>
      <c r="X469" s="6"/>
      <c r="Y469" s="6"/>
    </row>
    <row r="470" ht="31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25"/>
      <c r="Q470" s="6"/>
      <c r="R470" s="6"/>
      <c r="S470" s="6"/>
      <c r="T470" s="6"/>
      <c r="U470" s="6"/>
      <c r="V470" s="6"/>
      <c r="W470" s="6"/>
      <c r="X470" s="6"/>
      <c r="Y470" s="6"/>
    </row>
    <row r="471" ht="31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25"/>
      <c r="Q471" s="6"/>
      <c r="R471" s="6"/>
      <c r="S471" s="6"/>
      <c r="T471" s="6"/>
      <c r="U471" s="6"/>
      <c r="V471" s="6"/>
      <c r="W471" s="6"/>
      <c r="X471" s="6"/>
      <c r="Y471" s="6"/>
    </row>
    <row r="472" ht="31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25"/>
      <c r="Q472" s="6"/>
      <c r="R472" s="6"/>
      <c r="S472" s="6"/>
      <c r="T472" s="6"/>
      <c r="U472" s="6"/>
      <c r="V472" s="6"/>
      <c r="W472" s="6"/>
      <c r="X472" s="6"/>
      <c r="Y472" s="6"/>
    </row>
    <row r="473" ht="31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25"/>
      <c r="Q473" s="6"/>
      <c r="R473" s="6"/>
      <c r="S473" s="6"/>
      <c r="T473" s="6"/>
      <c r="U473" s="6"/>
      <c r="V473" s="6"/>
      <c r="W473" s="6"/>
      <c r="X473" s="6"/>
      <c r="Y473" s="6"/>
    </row>
    <row r="474" ht="31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25"/>
      <c r="Q474" s="6"/>
      <c r="R474" s="6"/>
      <c r="S474" s="6"/>
      <c r="T474" s="6"/>
      <c r="U474" s="6"/>
      <c r="V474" s="6"/>
      <c r="W474" s="6"/>
      <c r="X474" s="6"/>
      <c r="Y474" s="6"/>
    </row>
    <row r="475" ht="31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25"/>
      <c r="Q475" s="6"/>
      <c r="R475" s="6"/>
      <c r="S475" s="6"/>
      <c r="T475" s="6"/>
      <c r="U475" s="6"/>
      <c r="V475" s="6"/>
      <c r="W475" s="6"/>
      <c r="X475" s="6"/>
      <c r="Y475" s="6"/>
    </row>
    <row r="476" ht="31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25"/>
      <c r="Q476" s="6"/>
      <c r="R476" s="6"/>
      <c r="S476" s="6"/>
      <c r="T476" s="6"/>
      <c r="U476" s="6"/>
      <c r="V476" s="6"/>
      <c r="W476" s="6"/>
      <c r="X476" s="6"/>
      <c r="Y476" s="6"/>
    </row>
    <row r="477" ht="31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25"/>
      <c r="Q477" s="6"/>
      <c r="R477" s="6"/>
      <c r="S477" s="6"/>
      <c r="T477" s="6"/>
      <c r="U477" s="6"/>
      <c r="V477" s="6"/>
      <c r="W477" s="6"/>
      <c r="X477" s="6"/>
      <c r="Y477" s="6"/>
    </row>
    <row r="478" ht="31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25"/>
      <c r="Q478" s="6"/>
      <c r="R478" s="6"/>
      <c r="S478" s="6"/>
      <c r="T478" s="6"/>
      <c r="U478" s="6"/>
      <c r="V478" s="6"/>
      <c r="W478" s="6"/>
      <c r="X478" s="6"/>
      <c r="Y478" s="6"/>
    </row>
    <row r="479" ht="31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25"/>
      <c r="Q479" s="6"/>
      <c r="R479" s="6"/>
      <c r="S479" s="6"/>
      <c r="T479" s="6"/>
      <c r="U479" s="6"/>
      <c r="V479" s="6"/>
      <c r="W479" s="6"/>
      <c r="X479" s="6"/>
      <c r="Y479" s="6"/>
    </row>
    <row r="480" ht="31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25"/>
      <c r="Q480" s="6"/>
      <c r="R480" s="6"/>
      <c r="S480" s="6"/>
      <c r="T480" s="6"/>
      <c r="U480" s="6"/>
      <c r="V480" s="6"/>
      <c r="W480" s="6"/>
      <c r="X480" s="6"/>
      <c r="Y480" s="6"/>
    </row>
    <row r="481" ht="31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25"/>
      <c r="Q481" s="6"/>
      <c r="R481" s="6"/>
      <c r="S481" s="6"/>
      <c r="T481" s="6"/>
      <c r="U481" s="6"/>
      <c r="V481" s="6"/>
      <c r="W481" s="6"/>
      <c r="X481" s="6"/>
      <c r="Y481" s="6"/>
    </row>
    <row r="482" ht="31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25"/>
      <c r="Q482" s="6"/>
      <c r="R482" s="6"/>
      <c r="S482" s="6"/>
      <c r="T482" s="6"/>
      <c r="U482" s="6"/>
      <c r="V482" s="6"/>
      <c r="W482" s="6"/>
      <c r="X482" s="6"/>
      <c r="Y482" s="6"/>
    </row>
    <row r="483" ht="31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25"/>
      <c r="Q483" s="6"/>
      <c r="R483" s="6"/>
      <c r="S483" s="6"/>
      <c r="T483" s="6"/>
      <c r="U483" s="6"/>
      <c r="V483" s="6"/>
      <c r="W483" s="6"/>
      <c r="X483" s="6"/>
      <c r="Y483" s="6"/>
    </row>
    <row r="484" ht="31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25"/>
      <c r="Q484" s="6"/>
      <c r="R484" s="6"/>
      <c r="S484" s="6"/>
      <c r="T484" s="6"/>
      <c r="U484" s="6"/>
      <c r="V484" s="6"/>
      <c r="W484" s="6"/>
      <c r="X484" s="6"/>
      <c r="Y484" s="6"/>
    </row>
    <row r="485" ht="31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25"/>
      <c r="Q485" s="6"/>
      <c r="R485" s="6"/>
      <c r="S485" s="6"/>
      <c r="T485" s="6"/>
      <c r="U485" s="6"/>
      <c r="V485" s="6"/>
      <c r="W485" s="6"/>
      <c r="X485" s="6"/>
      <c r="Y485" s="6"/>
    </row>
    <row r="486" ht="31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25"/>
      <c r="Q486" s="6"/>
      <c r="R486" s="6"/>
      <c r="S486" s="6"/>
      <c r="T486" s="6"/>
      <c r="U486" s="6"/>
      <c r="V486" s="6"/>
      <c r="W486" s="6"/>
      <c r="X486" s="6"/>
      <c r="Y486" s="6"/>
    </row>
    <row r="487" ht="31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25"/>
      <c r="Q487" s="6"/>
      <c r="R487" s="6"/>
      <c r="S487" s="6"/>
      <c r="T487" s="6"/>
      <c r="U487" s="6"/>
      <c r="V487" s="6"/>
      <c r="W487" s="6"/>
      <c r="X487" s="6"/>
      <c r="Y487" s="6"/>
    </row>
    <row r="488" ht="31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25"/>
      <c r="Q488" s="6"/>
      <c r="R488" s="6"/>
      <c r="S488" s="6"/>
      <c r="T488" s="6"/>
      <c r="U488" s="6"/>
      <c r="V488" s="6"/>
      <c r="W488" s="6"/>
      <c r="X488" s="6"/>
      <c r="Y488" s="6"/>
    </row>
    <row r="489" ht="31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25"/>
      <c r="Q489" s="6"/>
      <c r="R489" s="6"/>
      <c r="S489" s="6"/>
      <c r="T489" s="6"/>
      <c r="U489" s="6"/>
      <c r="V489" s="6"/>
      <c r="W489" s="6"/>
      <c r="X489" s="6"/>
      <c r="Y489" s="6"/>
    </row>
    <row r="490" ht="31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25"/>
      <c r="Q490" s="6"/>
      <c r="R490" s="6"/>
      <c r="S490" s="6"/>
      <c r="T490" s="6"/>
      <c r="U490" s="6"/>
      <c r="V490" s="6"/>
      <c r="W490" s="6"/>
      <c r="X490" s="6"/>
      <c r="Y490" s="6"/>
    </row>
    <row r="491" ht="31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25"/>
      <c r="Q491" s="6"/>
      <c r="R491" s="6"/>
      <c r="S491" s="6"/>
      <c r="T491" s="6"/>
      <c r="U491" s="6"/>
      <c r="V491" s="6"/>
      <c r="W491" s="6"/>
      <c r="X491" s="6"/>
      <c r="Y491" s="6"/>
    </row>
    <row r="492" ht="31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25"/>
      <c r="Q492" s="6"/>
      <c r="R492" s="6"/>
      <c r="S492" s="6"/>
      <c r="T492" s="6"/>
      <c r="U492" s="6"/>
      <c r="V492" s="6"/>
      <c r="W492" s="6"/>
      <c r="X492" s="6"/>
      <c r="Y492" s="6"/>
    </row>
    <row r="493" ht="31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25"/>
      <c r="Q493" s="6"/>
      <c r="R493" s="6"/>
      <c r="S493" s="6"/>
      <c r="T493" s="6"/>
      <c r="U493" s="6"/>
      <c r="V493" s="6"/>
      <c r="W493" s="6"/>
      <c r="X493" s="6"/>
      <c r="Y493" s="6"/>
    </row>
    <row r="494" ht="31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25"/>
      <c r="Q494" s="6"/>
      <c r="R494" s="6"/>
      <c r="S494" s="6"/>
      <c r="T494" s="6"/>
      <c r="U494" s="6"/>
      <c r="V494" s="6"/>
      <c r="W494" s="6"/>
      <c r="X494" s="6"/>
      <c r="Y494" s="6"/>
    </row>
    <row r="495" ht="31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25"/>
      <c r="Q495" s="6"/>
      <c r="R495" s="6"/>
      <c r="S495" s="6"/>
      <c r="T495" s="6"/>
      <c r="U495" s="6"/>
      <c r="V495" s="6"/>
      <c r="W495" s="6"/>
      <c r="X495" s="6"/>
      <c r="Y495" s="6"/>
    </row>
    <row r="496" ht="31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25"/>
      <c r="Q496" s="6"/>
      <c r="R496" s="6"/>
      <c r="S496" s="6"/>
      <c r="T496" s="6"/>
      <c r="U496" s="6"/>
      <c r="V496" s="6"/>
      <c r="W496" s="6"/>
      <c r="X496" s="6"/>
      <c r="Y496" s="6"/>
    </row>
    <row r="497" ht="31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25"/>
      <c r="Q497" s="6"/>
      <c r="R497" s="6"/>
      <c r="S497" s="6"/>
      <c r="T497" s="6"/>
      <c r="U497" s="6"/>
      <c r="V497" s="6"/>
      <c r="W497" s="6"/>
      <c r="X497" s="6"/>
      <c r="Y497" s="6"/>
    </row>
    <row r="498" ht="31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25"/>
      <c r="Q498" s="6"/>
      <c r="R498" s="6"/>
      <c r="S498" s="6"/>
      <c r="T498" s="6"/>
      <c r="U498" s="6"/>
      <c r="V498" s="6"/>
      <c r="W498" s="6"/>
      <c r="X498" s="6"/>
      <c r="Y498" s="6"/>
    </row>
    <row r="499" ht="31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25"/>
      <c r="Q499" s="6"/>
      <c r="R499" s="6"/>
      <c r="S499" s="6"/>
      <c r="T499" s="6"/>
      <c r="U499" s="6"/>
      <c r="V499" s="6"/>
      <c r="W499" s="6"/>
      <c r="X499" s="6"/>
      <c r="Y499" s="6"/>
    </row>
    <row r="500" ht="31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25"/>
      <c r="Q500" s="6"/>
      <c r="R500" s="6"/>
      <c r="S500" s="6"/>
      <c r="T500" s="6"/>
      <c r="U500" s="6"/>
      <c r="V500" s="6"/>
      <c r="W500" s="6"/>
      <c r="X500" s="6"/>
      <c r="Y500" s="6"/>
    </row>
    <row r="501" ht="31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25"/>
      <c r="Q501" s="6"/>
      <c r="R501" s="6"/>
      <c r="S501" s="6"/>
      <c r="T501" s="6"/>
      <c r="U501" s="6"/>
      <c r="V501" s="6"/>
      <c r="W501" s="6"/>
      <c r="X501" s="6"/>
      <c r="Y501" s="6"/>
    </row>
    <row r="502" ht="31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25"/>
      <c r="Q502" s="6"/>
      <c r="R502" s="6"/>
      <c r="S502" s="6"/>
      <c r="T502" s="6"/>
      <c r="U502" s="6"/>
      <c r="V502" s="6"/>
      <c r="W502" s="6"/>
      <c r="X502" s="6"/>
      <c r="Y502" s="6"/>
    </row>
    <row r="503" ht="31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25"/>
      <c r="Q503" s="6"/>
      <c r="R503" s="6"/>
      <c r="S503" s="6"/>
      <c r="T503" s="6"/>
      <c r="U503" s="6"/>
      <c r="V503" s="6"/>
      <c r="W503" s="6"/>
      <c r="X503" s="6"/>
      <c r="Y503" s="6"/>
    </row>
    <row r="504" ht="31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25"/>
      <c r="Q504" s="6"/>
      <c r="R504" s="6"/>
      <c r="S504" s="6"/>
      <c r="T504" s="6"/>
      <c r="U504" s="6"/>
      <c r="V504" s="6"/>
      <c r="W504" s="6"/>
      <c r="X504" s="6"/>
      <c r="Y504" s="6"/>
    </row>
    <row r="505" ht="31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25"/>
      <c r="Q505" s="6"/>
      <c r="R505" s="6"/>
      <c r="S505" s="6"/>
      <c r="T505" s="6"/>
      <c r="U505" s="6"/>
      <c r="V505" s="6"/>
      <c r="W505" s="6"/>
      <c r="X505" s="6"/>
      <c r="Y505" s="6"/>
    </row>
    <row r="506" ht="31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25"/>
      <c r="Q506" s="6"/>
      <c r="R506" s="6"/>
      <c r="S506" s="6"/>
      <c r="T506" s="6"/>
      <c r="U506" s="6"/>
      <c r="V506" s="6"/>
      <c r="W506" s="6"/>
      <c r="X506" s="6"/>
      <c r="Y506" s="6"/>
    </row>
    <row r="507" ht="31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25"/>
      <c r="Q507" s="6"/>
      <c r="R507" s="6"/>
      <c r="S507" s="6"/>
      <c r="T507" s="6"/>
      <c r="U507" s="6"/>
      <c r="V507" s="6"/>
      <c r="W507" s="6"/>
      <c r="X507" s="6"/>
      <c r="Y507" s="6"/>
    </row>
    <row r="508" ht="31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25"/>
      <c r="Q508" s="6"/>
      <c r="R508" s="6"/>
      <c r="S508" s="6"/>
      <c r="T508" s="6"/>
      <c r="U508" s="6"/>
      <c r="V508" s="6"/>
      <c r="W508" s="6"/>
      <c r="X508" s="6"/>
      <c r="Y508" s="6"/>
    </row>
    <row r="509" ht="31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25"/>
      <c r="Q509" s="6"/>
      <c r="R509" s="6"/>
      <c r="S509" s="6"/>
      <c r="T509" s="6"/>
      <c r="U509" s="6"/>
      <c r="V509" s="6"/>
      <c r="W509" s="6"/>
      <c r="X509" s="6"/>
      <c r="Y509" s="6"/>
    </row>
    <row r="510" ht="31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25"/>
      <c r="Q510" s="6"/>
      <c r="R510" s="6"/>
      <c r="S510" s="6"/>
      <c r="T510" s="6"/>
      <c r="U510" s="6"/>
      <c r="V510" s="6"/>
      <c r="W510" s="6"/>
      <c r="X510" s="6"/>
      <c r="Y510" s="6"/>
    </row>
    <row r="511" ht="31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25"/>
      <c r="Q511" s="6"/>
      <c r="R511" s="6"/>
      <c r="S511" s="6"/>
      <c r="T511" s="6"/>
      <c r="U511" s="6"/>
      <c r="V511" s="6"/>
      <c r="W511" s="6"/>
      <c r="X511" s="6"/>
      <c r="Y511" s="6"/>
    </row>
    <row r="512" ht="31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25"/>
      <c r="Q512" s="6"/>
      <c r="R512" s="6"/>
      <c r="S512" s="6"/>
      <c r="T512" s="6"/>
      <c r="U512" s="6"/>
      <c r="V512" s="6"/>
      <c r="W512" s="6"/>
      <c r="X512" s="6"/>
      <c r="Y512" s="6"/>
    </row>
    <row r="513" ht="31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25"/>
      <c r="Q513" s="6"/>
      <c r="R513" s="6"/>
      <c r="S513" s="6"/>
      <c r="T513" s="6"/>
      <c r="U513" s="6"/>
      <c r="V513" s="6"/>
      <c r="W513" s="6"/>
      <c r="X513" s="6"/>
      <c r="Y513" s="6"/>
    </row>
    <row r="514" ht="31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25"/>
      <c r="Q514" s="6"/>
      <c r="R514" s="6"/>
      <c r="S514" s="6"/>
      <c r="T514" s="6"/>
      <c r="U514" s="6"/>
      <c r="V514" s="6"/>
      <c r="W514" s="6"/>
      <c r="X514" s="6"/>
      <c r="Y514" s="6"/>
    </row>
    <row r="515" ht="31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25"/>
      <c r="Q515" s="6"/>
      <c r="R515" s="6"/>
      <c r="S515" s="6"/>
      <c r="T515" s="6"/>
      <c r="U515" s="6"/>
      <c r="V515" s="6"/>
      <c r="W515" s="6"/>
      <c r="X515" s="6"/>
      <c r="Y515" s="6"/>
    </row>
    <row r="516" ht="31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25"/>
      <c r="Q516" s="6"/>
      <c r="R516" s="6"/>
      <c r="S516" s="6"/>
      <c r="T516" s="6"/>
      <c r="U516" s="6"/>
      <c r="V516" s="6"/>
      <c r="W516" s="6"/>
      <c r="X516" s="6"/>
      <c r="Y516" s="6"/>
    </row>
    <row r="517" ht="31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25"/>
      <c r="Q517" s="6"/>
      <c r="R517" s="6"/>
      <c r="S517" s="6"/>
      <c r="T517" s="6"/>
      <c r="U517" s="6"/>
      <c r="V517" s="6"/>
      <c r="W517" s="6"/>
      <c r="X517" s="6"/>
      <c r="Y517" s="6"/>
    </row>
    <row r="518" ht="31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25"/>
      <c r="Q518" s="6"/>
      <c r="R518" s="6"/>
      <c r="S518" s="6"/>
      <c r="T518" s="6"/>
      <c r="U518" s="6"/>
      <c r="V518" s="6"/>
      <c r="W518" s="6"/>
      <c r="X518" s="6"/>
      <c r="Y518" s="6"/>
    </row>
    <row r="519" ht="31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25"/>
      <c r="Q519" s="6"/>
      <c r="R519" s="6"/>
      <c r="S519" s="6"/>
      <c r="T519" s="6"/>
      <c r="U519" s="6"/>
      <c r="V519" s="6"/>
      <c r="W519" s="6"/>
      <c r="X519" s="6"/>
      <c r="Y519" s="6"/>
    </row>
    <row r="520" ht="31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25"/>
      <c r="Q520" s="6"/>
      <c r="R520" s="6"/>
      <c r="S520" s="6"/>
      <c r="T520" s="6"/>
      <c r="U520" s="6"/>
      <c r="V520" s="6"/>
      <c r="W520" s="6"/>
      <c r="X520" s="6"/>
      <c r="Y520" s="6"/>
    </row>
    <row r="521" ht="31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25"/>
      <c r="Q521" s="6"/>
      <c r="R521" s="6"/>
      <c r="S521" s="6"/>
      <c r="T521" s="6"/>
      <c r="U521" s="6"/>
      <c r="V521" s="6"/>
      <c r="W521" s="6"/>
      <c r="X521" s="6"/>
      <c r="Y521" s="6"/>
    </row>
    <row r="522" ht="31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25"/>
      <c r="Q522" s="6"/>
      <c r="R522" s="6"/>
      <c r="S522" s="6"/>
      <c r="T522" s="6"/>
      <c r="U522" s="6"/>
      <c r="V522" s="6"/>
      <c r="W522" s="6"/>
      <c r="X522" s="6"/>
      <c r="Y522" s="6"/>
    </row>
    <row r="523" ht="31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25"/>
      <c r="Q523" s="6"/>
      <c r="R523" s="6"/>
      <c r="S523" s="6"/>
      <c r="T523" s="6"/>
      <c r="U523" s="6"/>
      <c r="V523" s="6"/>
      <c r="W523" s="6"/>
      <c r="X523" s="6"/>
      <c r="Y523" s="6"/>
    </row>
    <row r="524" ht="31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25"/>
      <c r="Q524" s="6"/>
      <c r="R524" s="6"/>
      <c r="S524" s="6"/>
      <c r="T524" s="6"/>
      <c r="U524" s="6"/>
      <c r="V524" s="6"/>
      <c r="W524" s="6"/>
      <c r="X524" s="6"/>
      <c r="Y524" s="6"/>
    </row>
    <row r="525" ht="31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25"/>
      <c r="Q525" s="6"/>
      <c r="R525" s="6"/>
      <c r="S525" s="6"/>
      <c r="T525" s="6"/>
      <c r="U525" s="6"/>
      <c r="V525" s="6"/>
      <c r="W525" s="6"/>
      <c r="X525" s="6"/>
      <c r="Y525" s="6"/>
    </row>
    <row r="526" ht="31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25"/>
      <c r="Q526" s="6"/>
      <c r="R526" s="6"/>
      <c r="S526" s="6"/>
      <c r="T526" s="6"/>
      <c r="U526" s="6"/>
      <c r="V526" s="6"/>
      <c r="W526" s="6"/>
      <c r="X526" s="6"/>
      <c r="Y526" s="6"/>
    </row>
    <row r="527" ht="31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25"/>
      <c r="Q527" s="6"/>
      <c r="R527" s="6"/>
      <c r="S527" s="6"/>
      <c r="T527" s="6"/>
      <c r="U527" s="6"/>
      <c r="V527" s="6"/>
      <c r="W527" s="6"/>
      <c r="X527" s="6"/>
      <c r="Y527" s="6"/>
    </row>
    <row r="528" ht="31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25"/>
      <c r="Q528" s="6"/>
      <c r="R528" s="6"/>
      <c r="S528" s="6"/>
      <c r="T528" s="6"/>
      <c r="U528" s="6"/>
      <c r="V528" s="6"/>
      <c r="W528" s="6"/>
      <c r="X528" s="6"/>
      <c r="Y528" s="6"/>
    </row>
    <row r="529" ht="31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25"/>
      <c r="Q529" s="6"/>
      <c r="R529" s="6"/>
      <c r="S529" s="6"/>
      <c r="T529" s="6"/>
      <c r="U529" s="6"/>
      <c r="V529" s="6"/>
      <c r="W529" s="6"/>
      <c r="X529" s="6"/>
      <c r="Y529" s="6"/>
    </row>
    <row r="530" ht="31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25"/>
      <c r="Q530" s="6"/>
      <c r="R530" s="6"/>
      <c r="S530" s="6"/>
      <c r="T530" s="6"/>
      <c r="U530" s="6"/>
      <c r="V530" s="6"/>
      <c r="W530" s="6"/>
      <c r="X530" s="6"/>
      <c r="Y530" s="6"/>
    </row>
    <row r="531" ht="31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25"/>
      <c r="Q531" s="6"/>
      <c r="R531" s="6"/>
      <c r="S531" s="6"/>
      <c r="T531" s="6"/>
      <c r="U531" s="6"/>
      <c r="V531" s="6"/>
      <c r="W531" s="6"/>
      <c r="X531" s="6"/>
      <c r="Y531" s="6"/>
    </row>
    <row r="532" ht="31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25"/>
      <c r="Q532" s="6"/>
      <c r="R532" s="6"/>
      <c r="S532" s="6"/>
      <c r="T532" s="6"/>
      <c r="U532" s="6"/>
      <c r="V532" s="6"/>
      <c r="W532" s="6"/>
      <c r="X532" s="6"/>
      <c r="Y532" s="6"/>
    </row>
    <row r="533" ht="31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25"/>
      <c r="Q533" s="6"/>
      <c r="R533" s="6"/>
      <c r="S533" s="6"/>
      <c r="T533" s="6"/>
      <c r="U533" s="6"/>
      <c r="V533" s="6"/>
      <c r="W533" s="6"/>
      <c r="X533" s="6"/>
      <c r="Y533" s="6"/>
    </row>
    <row r="534" ht="31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25"/>
      <c r="Q534" s="6"/>
      <c r="R534" s="6"/>
      <c r="S534" s="6"/>
      <c r="T534" s="6"/>
      <c r="U534" s="6"/>
      <c r="V534" s="6"/>
      <c r="W534" s="6"/>
      <c r="X534" s="6"/>
      <c r="Y534" s="6"/>
    </row>
    <row r="535" ht="31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25"/>
      <c r="Q535" s="6"/>
      <c r="R535" s="6"/>
      <c r="S535" s="6"/>
      <c r="T535" s="6"/>
      <c r="U535" s="6"/>
      <c r="V535" s="6"/>
      <c r="W535" s="6"/>
      <c r="X535" s="6"/>
      <c r="Y535" s="6"/>
    </row>
    <row r="536" ht="31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25"/>
      <c r="Q536" s="6"/>
      <c r="R536" s="6"/>
      <c r="S536" s="6"/>
      <c r="T536" s="6"/>
      <c r="U536" s="6"/>
      <c r="V536" s="6"/>
      <c r="W536" s="6"/>
      <c r="X536" s="6"/>
      <c r="Y536" s="6"/>
    </row>
    <row r="537" ht="31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25"/>
      <c r="Q537" s="6"/>
      <c r="R537" s="6"/>
      <c r="S537" s="6"/>
      <c r="T537" s="6"/>
      <c r="U537" s="6"/>
      <c r="V537" s="6"/>
      <c r="W537" s="6"/>
      <c r="X537" s="6"/>
      <c r="Y537" s="6"/>
    </row>
    <row r="538" ht="31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25"/>
      <c r="Q538" s="6"/>
      <c r="R538" s="6"/>
      <c r="S538" s="6"/>
      <c r="T538" s="6"/>
      <c r="U538" s="6"/>
      <c r="V538" s="6"/>
      <c r="W538" s="6"/>
      <c r="X538" s="6"/>
      <c r="Y538" s="6"/>
    </row>
    <row r="539" ht="31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25"/>
      <c r="Q539" s="6"/>
      <c r="R539" s="6"/>
      <c r="S539" s="6"/>
      <c r="T539" s="6"/>
      <c r="U539" s="6"/>
      <c r="V539" s="6"/>
      <c r="W539" s="6"/>
      <c r="X539" s="6"/>
      <c r="Y539" s="6"/>
    </row>
    <row r="540" ht="31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25"/>
      <c r="Q540" s="6"/>
      <c r="R540" s="6"/>
      <c r="S540" s="6"/>
      <c r="T540" s="6"/>
      <c r="U540" s="6"/>
      <c r="V540" s="6"/>
      <c r="W540" s="6"/>
      <c r="X540" s="6"/>
      <c r="Y540" s="6"/>
    </row>
    <row r="541" ht="31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25"/>
      <c r="Q541" s="6"/>
      <c r="R541" s="6"/>
      <c r="S541" s="6"/>
      <c r="T541" s="6"/>
      <c r="U541" s="6"/>
      <c r="V541" s="6"/>
      <c r="W541" s="6"/>
      <c r="X541" s="6"/>
      <c r="Y541" s="6"/>
    </row>
    <row r="542" ht="31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25"/>
      <c r="Q542" s="6"/>
      <c r="R542" s="6"/>
      <c r="S542" s="6"/>
      <c r="T542" s="6"/>
      <c r="U542" s="6"/>
      <c r="V542" s="6"/>
      <c r="W542" s="6"/>
      <c r="X542" s="6"/>
      <c r="Y542" s="6"/>
    </row>
    <row r="543" ht="31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25"/>
      <c r="Q543" s="6"/>
      <c r="R543" s="6"/>
      <c r="S543" s="6"/>
      <c r="T543" s="6"/>
      <c r="U543" s="6"/>
      <c r="V543" s="6"/>
      <c r="W543" s="6"/>
      <c r="X543" s="6"/>
      <c r="Y543" s="6"/>
    </row>
    <row r="544" ht="31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25"/>
      <c r="Q544" s="6"/>
      <c r="R544" s="6"/>
      <c r="S544" s="6"/>
      <c r="T544" s="6"/>
      <c r="U544" s="6"/>
      <c r="V544" s="6"/>
      <c r="W544" s="6"/>
      <c r="X544" s="6"/>
      <c r="Y544" s="6"/>
    </row>
    <row r="545" ht="31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25"/>
      <c r="Q545" s="6"/>
      <c r="R545" s="6"/>
      <c r="S545" s="6"/>
      <c r="T545" s="6"/>
      <c r="U545" s="6"/>
      <c r="V545" s="6"/>
      <c r="W545" s="6"/>
      <c r="X545" s="6"/>
      <c r="Y545" s="6"/>
    </row>
    <row r="546" ht="31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25"/>
      <c r="Q546" s="6"/>
      <c r="R546" s="6"/>
      <c r="S546" s="6"/>
      <c r="T546" s="6"/>
      <c r="U546" s="6"/>
      <c r="V546" s="6"/>
      <c r="W546" s="6"/>
      <c r="X546" s="6"/>
      <c r="Y546" s="6"/>
    </row>
    <row r="547" ht="31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25"/>
      <c r="Q547" s="6"/>
      <c r="R547" s="6"/>
      <c r="S547" s="6"/>
      <c r="T547" s="6"/>
      <c r="U547" s="6"/>
      <c r="V547" s="6"/>
      <c r="W547" s="6"/>
      <c r="X547" s="6"/>
      <c r="Y547" s="6"/>
    </row>
    <row r="548" ht="31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25"/>
      <c r="Q548" s="6"/>
      <c r="R548" s="6"/>
      <c r="S548" s="6"/>
      <c r="T548" s="6"/>
      <c r="U548" s="6"/>
      <c r="V548" s="6"/>
      <c r="W548" s="6"/>
      <c r="X548" s="6"/>
      <c r="Y548" s="6"/>
    </row>
    <row r="549" ht="31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25"/>
      <c r="Q549" s="6"/>
      <c r="R549" s="6"/>
      <c r="S549" s="6"/>
      <c r="T549" s="6"/>
      <c r="U549" s="6"/>
      <c r="V549" s="6"/>
      <c r="W549" s="6"/>
      <c r="X549" s="6"/>
      <c r="Y549" s="6"/>
    </row>
    <row r="550" ht="31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25"/>
      <c r="Q550" s="6"/>
      <c r="R550" s="6"/>
      <c r="S550" s="6"/>
      <c r="T550" s="6"/>
      <c r="U550" s="6"/>
      <c r="V550" s="6"/>
      <c r="W550" s="6"/>
      <c r="X550" s="6"/>
      <c r="Y550" s="6"/>
    </row>
    <row r="551" ht="31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25"/>
      <c r="Q551" s="6"/>
      <c r="R551" s="6"/>
      <c r="S551" s="6"/>
      <c r="T551" s="6"/>
      <c r="U551" s="6"/>
      <c r="V551" s="6"/>
      <c r="W551" s="6"/>
      <c r="X551" s="6"/>
      <c r="Y551" s="6"/>
    </row>
    <row r="552" ht="31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25"/>
      <c r="Q552" s="6"/>
      <c r="R552" s="6"/>
      <c r="S552" s="6"/>
      <c r="T552" s="6"/>
      <c r="U552" s="6"/>
      <c r="V552" s="6"/>
      <c r="W552" s="6"/>
      <c r="X552" s="6"/>
      <c r="Y552" s="6"/>
    </row>
    <row r="553" ht="31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25"/>
      <c r="Q553" s="6"/>
      <c r="R553" s="6"/>
      <c r="S553" s="6"/>
      <c r="T553" s="6"/>
      <c r="U553" s="6"/>
      <c r="V553" s="6"/>
      <c r="W553" s="6"/>
      <c r="X553" s="6"/>
      <c r="Y553" s="6"/>
    </row>
    <row r="554" ht="31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25"/>
      <c r="Q554" s="6"/>
      <c r="R554" s="6"/>
      <c r="S554" s="6"/>
      <c r="T554" s="6"/>
      <c r="U554" s="6"/>
      <c r="V554" s="6"/>
      <c r="W554" s="6"/>
      <c r="X554" s="6"/>
      <c r="Y554" s="6"/>
    </row>
    <row r="555" ht="31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25"/>
      <c r="Q555" s="6"/>
      <c r="R555" s="6"/>
      <c r="S555" s="6"/>
      <c r="T555" s="6"/>
      <c r="U555" s="6"/>
      <c r="V555" s="6"/>
      <c r="W555" s="6"/>
      <c r="X555" s="6"/>
      <c r="Y555" s="6"/>
    </row>
    <row r="556" ht="31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25"/>
      <c r="Q556" s="6"/>
      <c r="R556" s="6"/>
      <c r="S556" s="6"/>
      <c r="T556" s="6"/>
      <c r="U556" s="6"/>
      <c r="V556" s="6"/>
      <c r="W556" s="6"/>
      <c r="X556" s="6"/>
      <c r="Y556" s="6"/>
    </row>
    <row r="557" ht="31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25"/>
      <c r="Q557" s="6"/>
      <c r="R557" s="6"/>
      <c r="S557" s="6"/>
      <c r="T557" s="6"/>
      <c r="U557" s="6"/>
      <c r="V557" s="6"/>
      <c r="W557" s="6"/>
      <c r="X557" s="6"/>
      <c r="Y557" s="6"/>
    </row>
    <row r="558" ht="31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25"/>
      <c r="Q558" s="6"/>
      <c r="R558" s="6"/>
      <c r="S558" s="6"/>
      <c r="T558" s="6"/>
      <c r="U558" s="6"/>
      <c r="V558" s="6"/>
      <c r="W558" s="6"/>
      <c r="X558" s="6"/>
      <c r="Y558" s="6"/>
    </row>
    <row r="559" ht="31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25"/>
      <c r="Q559" s="6"/>
      <c r="R559" s="6"/>
      <c r="S559" s="6"/>
      <c r="T559" s="6"/>
      <c r="U559" s="6"/>
      <c r="V559" s="6"/>
      <c r="W559" s="6"/>
      <c r="X559" s="6"/>
      <c r="Y559" s="6"/>
    </row>
    <row r="560" ht="31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25"/>
      <c r="Q560" s="6"/>
      <c r="R560" s="6"/>
      <c r="S560" s="6"/>
      <c r="T560" s="6"/>
      <c r="U560" s="6"/>
      <c r="V560" s="6"/>
      <c r="W560" s="6"/>
      <c r="X560" s="6"/>
      <c r="Y560" s="6"/>
    </row>
    <row r="561" ht="31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25"/>
      <c r="Q561" s="6"/>
      <c r="R561" s="6"/>
      <c r="S561" s="6"/>
      <c r="T561" s="6"/>
      <c r="U561" s="6"/>
      <c r="V561" s="6"/>
      <c r="W561" s="6"/>
      <c r="X561" s="6"/>
      <c r="Y561" s="6"/>
    </row>
    <row r="562" ht="31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25"/>
      <c r="Q562" s="6"/>
      <c r="R562" s="6"/>
      <c r="S562" s="6"/>
      <c r="T562" s="6"/>
      <c r="U562" s="6"/>
      <c r="V562" s="6"/>
      <c r="W562" s="6"/>
      <c r="X562" s="6"/>
      <c r="Y562" s="6"/>
    </row>
    <row r="563" ht="31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25"/>
      <c r="Q563" s="6"/>
      <c r="R563" s="6"/>
      <c r="S563" s="6"/>
      <c r="T563" s="6"/>
      <c r="U563" s="6"/>
      <c r="V563" s="6"/>
      <c r="W563" s="6"/>
      <c r="X563" s="6"/>
      <c r="Y563" s="6"/>
    </row>
    <row r="564" ht="31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25"/>
      <c r="Q564" s="6"/>
      <c r="R564" s="6"/>
      <c r="S564" s="6"/>
      <c r="T564" s="6"/>
      <c r="U564" s="6"/>
      <c r="V564" s="6"/>
      <c r="W564" s="6"/>
      <c r="X564" s="6"/>
      <c r="Y564" s="6"/>
    </row>
    <row r="565" ht="31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25"/>
      <c r="Q565" s="6"/>
      <c r="R565" s="6"/>
      <c r="S565" s="6"/>
      <c r="T565" s="6"/>
      <c r="U565" s="6"/>
      <c r="V565" s="6"/>
      <c r="W565" s="6"/>
      <c r="X565" s="6"/>
      <c r="Y565" s="6"/>
    </row>
    <row r="566" ht="31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25"/>
      <c r="Q566" s="6"/>
      <c r="R566" s="6"/>
      <c r="S566" s="6"/>
      <c r="T566" s="6"/>
      <c r="U566" s="6"/>
      <c r="V566" s="6"/>
      <c r="W566" s="6"/>
      <c r="X566" s="6"/>
      <c r="Y566" s="6"/>
    </row>
    <row r="567" ht="31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25"/>
      <c r="Q567" s="6"/>
      <c r="R567" s="6"/>
      <c r="S567" s="6"/>
      <c r="T567" s="6"/>
      <c r="U567" s="6"/>
      <c r="V567" s="6"/>
      <c r="W567" s="6"/>
      <c r="X567" s="6"/>
      <c r="Y567" s="6"/>
    </row>
    <row r="568" ht="31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25"/>
      <c r="Q568" s="6"/>
      <c r="R568" s="6"/>
      <c r="S568" s="6"/>
      <c r="T568" s="6"/>
      <c r="U568" s="6"/>
      <c r="V568" s="6"/>
      <c r="W568" s="6"/>
      <c r="X568" s="6"/>
      <c r="Y568" s="6"/>
    </row>
    <row r="569" ht="31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25"/>
      <c r="Q569" s="6"/>
      <c r="R569" s="6"/>
      <c r="S569" s="6"/>
      <c r="T569" s="6"/>
      <c r="U569" s="6"/>
      <c r="V569" s="6"/>
      <c r="W569" s="6"/>
      <c r="X569" s="6"/>
      <c r="Y569" s="6"/>
    </row>
    <row r="570" ht="31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25"/>
      <c r="Q570" s="6"/>
      <c r="R570" s="6"/>
      <c r="S570" s="6"/>
      <c r="T570" s="6"/>
      <c r="U570" s="6"/>
      <c r="V570" s="6"/>
      <c r="W570" s="6"/>
      <c r="X570" s="6"/>
      <c r="Y570" s="6"/>
    </row>
    <row r="571" ht="31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25"/>
      <c r="Q571" s="6"/>
      <c r="R571" s="6"/>
      <c r="S571" s="6"/>
      <c r="T571" s="6"/>
      <c r="U571" s="6"/>
      <c r="V571" s="6"/>
      <c r="W571" s="6"/>
      <c r="X571" s="6"/>
      <c r="Y571" s="6"/>
    </row>
    <row r="572" ht="31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25"/>
      <c r="Q572" s="6"/>
      <c r="R572" s="6"/>
      <c r="S572" s="6"/>
      <c r="T572" s="6"/>
      <c r="U572" s="6"/>
      <c r="V572" s="6"/>
      <c r="W572" s="6"/>
      <c r="X572" s="6"/>
      <c r="Y572" s="6"/>
    </row>
    <row r="573" ht="31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25"/>
      <c r="Q573" s="6"/>
      <c r="R573" s="6"/>
      <c r="S573" s="6"/>
      <c r="T573" s="6"/>
      <c r="U573" s="6"/>
      <c r="V573" s="6"/>
      <c r="W573" s="6"/>
      <c r="X573" s="6"/>
      <c r="Y573" s="6"/>
    </row>
    <row r="574" ht="31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25"/>
      <c r="Q574" s="6"/>
      <c r="R574" s="6"/>
      <c r="S574" s="6"/>
      <c r="T574" s="6"/>
      <c r="U574" s="6"/>
      <c r="V574" s="6"/>
      <c r="W574" s="6"/>
      <c r="X574" s="6"/>
      <c r="Y574" s="6"/>
    </row>
    <row r="575" ht="31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25"/>
      <c r="Q575" s="6"/>
      <c r="R575" s="6"/>
      <c r="S575" s="6"/>
      <c r="T575" s="6"/>
      <c r="U575" s="6"/>
      <c r="V575" s="6"/>
      <c r="W575" s="6"/>
      <c r="X575" s="6"/>
      <c r="Y575" s="6"/>
    </row>
    <row r="576" ht="31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25"/>
      <c r="Q576" s="6"/>
      <c r="R576" s="6"/>
      <c r="S576" s="6"/>
      <c r="T576" s="6"/>
      <c r="U576" s="6"/>
      <c r="V576" s="6"/>
      <c r="W576" s="6"/>
      <c r="X576" s="6"/>
      <c r="Y576" s="6"/>
    </row>
    <row r="577" ht="31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25"/>
      <c r="Q577" s="6"/>
      <c r="R577" s="6"/>
      <c r="S577" s="6"/>
      <c r="T577" s="6"/>
      <c r="U577" s="6"/>
      <c r="V577" s="6"/>
      <c r="W577" s="6"/>
      <c r="X577" s="6"/>
      <c r="Y577" s="6"/>
    </row>
    <row r="578" ht="31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25"/>
      <c r="Q578" s="6"/>
      <c r="R578" s="6"/>
      <c r="S578" s="6"/>
      <c r="T578" s="6"/>
      <c r="U578" s="6"/>
      <c r="V578" s="6"/>
      <c r="W578" s="6"/>
      <c r="X578" s="6"/>
      <c r="Y578" s="6"/>
    </row>
    <row r="579" ht="31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25"/>
      <c r="Q579" s="6"/>
      <c r="R579" s="6"/>
      <c r="S579" s="6"/>
      <c r="T579" s="6"/>
      <c r="U579" s="6"/>
      <c r="V579" s="6"/>
      <c r="W579" s="6"/>
      <c r="X579" s="6"/>
      <c r="Y579" s="6"/>
    </row>
    <row r="580" ht="31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25"/>
      <c r="Q580" s="6"/>
      <c r="R580" s="6"/>
      <c r="S580" s="6"/>
      <c r="T580" s="6"/>
      <c r="U580" s="6"/>
      <c r="V580" s="6"/>
      <c r="W580" s="6"/>
      <c r="X580" s="6"/>
      <c r="Y580" s="6"/>
    </row>
    <row r="581" ht="31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25"/>
      <c r="Q581" s="6"/>
      <c r="R581" s="6"/>
      <c r="S581" s="6"/>
      <c r="T581" s="6"/>
      <c r="U581" s="6"/>
      <c r="V581" s="6"/>
      <c r="W581" s="6"/>
      <c r="X581" s="6"/>
      <c r="Y581" s="6"/>
    </row>
    <row r="582" ht="31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25"/>
      <c r="Q582" s="6"/>
      <c r="R582" s="6"/>
      <c r="S582" s="6"/>
      <c r="T582" s="6"/>
      <c r="U582" s="6"/>
      <c r="V582" s="6"/>
      <c r="W582" s="6"/>
      <c r="X582" s="6"/>
      <c r="Y582" s="6"/>
    </row>
    <row r="583" ht="31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25"/>
      <c r="Q583" s="6"/>
      <c r="R583" s="6"/>
      <c r="S583" s="6"/>
      <c r="T583" s="6"/>
      <c r="U583" s="6"/>
      <c r="V583" s="6"/>
      <c r="W583" s="6"/>
      <c r="X583" s="6"/>
      <c r="Y583" s="6"/>
    </row>
    <row r="584" ht="31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25"/>
      <c r="Q584" s="6"/>
      <c r="R584" s="6"/>
      <c r="S584" s="6"/>
      <c r="T584" s="6"/>
      <c r="U584" s="6"/>
      <c r="V584" s="6"/>
      <c r="W584" s="6"/>
      <c r="X584" s="6"/>
      <c r="Y584" s="6"/>
    </row>
    <row r="585" ht="31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25"/>
      <c r="Q585" s="6"/>
      <c r="R585" s="6"/>
      <c r="S585" s="6"/>
      <c r="T585" s="6"/>
      <c r="U585" s="6"/>
      <c r="V585" s="6"/>
      <c r="W585" s="6"/>
      <c r="X585" s="6"/>
      <c r="Y585" s="6"/>
    </row>
    <row r="586" ht="31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25"/>
      <c r="Q586" s="6"/>
      <c r="R586" s="6"/>
      <c r="S586" s="6"/>
      <c r="T586" s="6"/>
      <c r="U586" s="6"/>
      <c r="V586" s="6"/>
      <c r="W586" s="6"/>
      <c r="X586" s="6"/>
      <c r="Y586" s="6"/>
    </row>
    <row r="587" ht="31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25"/>
      <c r="Q587" s="6"/>
      <c r="R587" s="6"/>
      <c r="S587" s="6"/>
      <c r="T587" s="6"/>
      <c r="U587" s="6"/>
      <c r="V587" s="6"/>
      <c r="W587" s="6"/>
      <c r="X587" s="6"/>
      <c r="Y587" s="6"/>
    </row>
    <row r="588" ht="31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25"/>
      <c r="Q588" s="6"/>
      <c r="R588" s="6"/>
      <c r="S588" s="6"/>
      <c r="T588" s="6"/>
      <c r="U588" s="6"/>
      <c r="V588" s="6"/>
      <c r="W588" s="6"/>
      <c r="X588" s="6"/>
      <c r="Y588" s="6"/>
    </row>
    <row r="589" ht="31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25"/>
      <c r="Q589" s="6"/>
      <c r="R589" s="6"/>
      <c r="S589" s="6"/>
      <c r="T589" s="6"/>
      <c r="U589" s="6"/>
      <c r="V589" s="6"/>
      <c r="W589" s="6"/>
      <c r="X589" s="6"/>
      <c r="Y589" s="6"/>
    </row>
    <row r="590" ht="31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25"/>
      <c r="Q590" s="6"/>
      <c r="R590" s="6"/>
      <c r="S590" s="6"/>
      <c r="T590" s="6"/>
      <c r="U590" s="6"/>
      <c r="V590" s="6"/>
      <c r="W590" s="6"/>
      <c r="X590" s="6"/>
      <c r="Y590" s="6"/>
    </row>
    <row r="591" ht="31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25"/>
      <c r="Q591" s="6"/>
      <c r="R591" s="6"/>
      <c r="S591" s="6"/>
      <c r="T591" s="6"/>
      <c r="U591" s="6"/>
      <c r="V591" s="6"/>
      <c r="W591" s="6"/>
      <c r="X591" s="6"/>
      <c r="Y591" s="6"/>
    </row>
    <row r="592" ht="31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25"/>
      <c r="Q592" s="6"/>
      <c r="R592" s="6"/>
      <c r="S592" s="6"/>
      <c r="T592" s="6"/>
      <c r="U592" s="6"/>
      <c r="V592" s="6"/>
      <c r="W592" s="6"/>
      <c r="X592" s="6"/>
      <c r="Y592" s="6"/>
    </row>
    <row r="593" ht="31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25"/>
      <c r="Q593" s="6"/>
      <c r="R593" s="6"/>
      <c r="S593" s="6"/>
      <c r="T593" s="6"/>
      <c r="U593" s="6"/>
      <c r="V593" s="6"/>
      <c r="W593" s="6"/>
      <c r="X593" s="6"/>
      <c r="Y593" s="6"/>
    </row>
    <row r="594" ht="31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25"/>
      <c r="Q594" s="6"/>
      <c r="R594" s="6"/>
      <c r="S594" s="6"/>
      <c r="T594" s="6"/>
      <c r="U594" s="6"/>
      <c r="V594" s="6"/>
      <c r="W594" s="6"/>
      <c r="X594" s="6"/>
      <c r="Y594" s="6"/>
    </row>
    <row r="595" ht="31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25"/>
      <c r="Q595" s="6"/>
      <c r="R595" s="6"/>
      <c r="S595" s="6"/>
      <c r="T595" s="6"/>
      <c r="U595" s="6"/>
      <c r="V595" s="6"/>
      <c r="W595" s="6"/>
      <c r="X595" s="6"/>
      <c r="Y595" s="6"/>
    </row>
    <row r="596" ht="31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25"/>
      <c r="Q596" s="6"/>
      <c r="R596" s="6"/>
      <c r="S596" s="6"/>
      <c r="T596" s="6"/>
      <c r="U596" s="6"/>
      <c r="V596" s="6"/>
      <c r="W596" s="6"/>
      <c r="X596" s="6"/>
      <c r="Y596" s="6"/>
    </row>
    <row r="597" ht="31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25"/>
      <c r="Q597" s="6"/>
      <c r="R597" s="6"/>
      <c r="S597" s="6"/>
      <c r="T597" s="6"/>
      <c r="U597" s="6"/>
      <c r="V597" s="6"/>
      <c r="W597" s="6"/>
      <c r="X597" s="6"/>
      <c r="Y597" s="6"/>
    </row>
    <row r="598" ht="31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25"/>
      <c r="Q598" s="6"/>
      <c r="R598" s="6"/>
      <c r="S598" s="6"/>
      <c r="T598" s="6"/>
      <c r="U598" s="6"/>
      <c r="V598" s="6"/>
      <c r="W598" s="6"/>
      <c r="X598" s="6"/>
      <c r="Y598" s="6"/>
    </row>
    <row r="599" ht="31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25"/>
      <c r="Q599" s="6"/>
      <c r="R599" s="6"/>
      <c r="S599" s="6"/>
      <c r="T599" s="6"/>
      <c r="U599" s="6"/>
      <c r="V599" s="6"/>
      <c r="W599" s="6"/>
      <c r="X599" s="6"/>
      <c r="Y599" s="6"/>
    </row>
    <row r="600" ht="31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25"/>
      <c r="Q600" s="6"/>
      <c r="R600" s="6"/>
      <c r="S600" s="6"/>
      <c r="T600" s="6"/>
      <c r="U600" s="6"/>
      <c r="V600" s="6"/>
      <c r="W600" s="6"/>
      <c r="X600" s="6"/>
      <c r="Y600" s="6"/>
    </row>
    <row r="601" ht="31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25"/>
      <c r="Q601" s="6"/>
      <c r="R601" s="6"/>
      <c r="S601" s="6"/>
      <c r="T601" s="6"/>
      <c r="U601" s="6"/>
      <c r="V601" s="6"/>
      <c r="W601" s="6"/>
      <c r="X601" s="6"/>
      <c r="Y601" s="6"/>
    </row>
    <row r="602" ht="31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25"/>
      <c r="Q602" s="6"/>
      <c r="R602" s="6"/>
      <c r="S602" s="6"/>
      <c r="T602" s="6"/>
      <c r="U602" s="6"/>
      <c r="V602" s="6"/>
      <c r="W602" s="6"/>
      <c r="X602" s="6"/>
      <c r="Y602" s="6"/>
    </row>
    <row r="603" ht="31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25"/>
      <c r="Q603" s="6"/>
      <c r="R603" s="6"/>
      <c r="S603" s="6"/>
      <c r="T603" s="6"/>
      <c r="U603" s="6"/>
      <c r="V603" s="6"/>
      <c r="W603" s="6"/>
      <c r="X603" s="6"/>
      <c r="Y603" s="6"/>
    </row>
    <row r="604" ht="31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25"/>
      <c r="Q604" s="6"/>
      <c r="R604" s="6"/>
      <c r="S604" s="6"/>
      <c r="T604" s="6"/>
      <c r="U604" s="6"/>
      <c r="V604" s="6"/>
      <c r="W604" s="6"/>
      <c r="X604" s="6"/>
      <c r="Y604" s="6"/>
    </row>
    <row r="605" ht="31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25"/>
      <c r="Q605" s="6"/>
      <c r="R605" s="6"/>
      <c r="S605" s="6"/>
      <c r="T605" s="6"/>
      <c r="U605" s="6"/>
      <c r="V605" s="6"/>
      <c r="W605" s="6"/>
      <c r="X605" s="6"/>
      <c r="Y605" s="6"/>
    </row>
    <row r="606" ht="31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25"/>
      <c r="Q606" s="6"/>
      <c r="R606" s="6"/>
      <c r="S606" s="6"/>
      <c r="T606" s="6"/>
      <c r="U606" s="6"/>
      <c r="V606" s="6"/>
      <c r="W606" s="6"/>
      <c r="X606" s="6"/>
      <c r="Y606" s="6"/>
    </row>
    <row r="607" ht="31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25"/>
      <c r="Q607" s="6"/>
      <c r="R607" s="6"/>
      <c r="S607" s="6"/>
      <c r="T607" s="6"/>
      <c r="U607" s="6"/>
      <c r="V607" s="6"/>
      <c r="W607" s="6"/>
      <c r="X607" s="6"/>
      <c r="Y607" s="6"/>
    </row>
    <row r="608" ht="31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25"/>
      <c r="Q608" s="6"/>
      <c r="R608" s="6"/>
      <c r="S608" s="6"/>
      <c r="T608" s="6"/>
      <c r="U608" s="6"/>
      <c r="V608" s="6"/>
      <c r="W608" s="6"/>
      <c r="X608" s="6"/>
      <c r="Y608" s="6"/>
    </row>
    <row r="609" ht="31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25"/>
      <c r="Q609" s="6"/>
      <c r="R609" s="6"/>
      <c r="S609" s="6"/>
      <c r="T609" s="6"/>
      <c r="U609" s="6"/>
      <c r="V609" s="6"/>
      <c r="W609" s="6"/>
      <c r="X609" s="6"/>
      <c r="Y609" s="6"/>
    </row>
    <row r="610" ht="31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25"/>
      <c r="Q610" s="6"/>
      <c r="R610" s="6"/>
      <c r="S610" s="6"/>
      <c r="T610" s="6"/>
      <c r="U610" s="6"/>
      <c r="V610" s="6"/>
      <c r="W610" s="6"/>
      <c r="X610" s="6"/>
      <c r="Y610" s="6"/>
    </row>
    <row r="611" ht="31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25"/>
      <c r="Q611" s="6"/>
      <c r="R611" s="6"/>
      <c r="S611" s="6"/>
      <c r="T611" s="6"/>
      <c r="U611" s="6"/>
      <c r="V611" s="6"/>
      <c r="W611" s="6"/>
      <c r="X611" s="6"/>
      <c r="Y611" s="6"/>
    </row>
    <row r="612" ht="31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25"/>
      <c r="Q612" s="6"/>
      <c r="R612" s="6"/>
      <c r="S612" s="6"/>
      <c r="T612" s="6"/>
      <c r="U612" s="6"/>
      <c r="V612" s="6"/>
      <c r="W612" s="6"/>
      <c r="X612" s="6"/>
      <c r="Y612" s="6"/>
    </row>
    <row r="613" ht="31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25"/>
      <c r="Q613" s="6"/>
      <c r="R613" s="6"/>
      <c r="S613" s="6"/>
      <c r="T613" s="6"/>
      <c r="U613" s="6"/>
      <c r="V613" s="6"/>
      <c r="W613" s="6"/>
      <c r="X613" s="6"/>
      <c r="Y613" s="6"/>
    </row>
    <row r="614" ht="31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25"/>
      <c r="Q614" s="6"/>
      <c r="R614" s="6"/>
      <c r="S614" s="6"/>
      <c r="T614" s="6"/>
      <c r="U614" s="6"/>
      <c r="V614" s="6"/>
      <c r="W614" s="6"/>
      <c r="X614" s="6"/>
      <c r="Y614" s="6"/>
    </row>
    <row r="615" ht="31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25"/>
      <c r="Q615" s="6"/>
      <c r="R615" s="6"/>
      <c r="S615" s="6"/>
      <c r="T615" s="6"/>
      <c r="U615" s="6"/>
      <c r="V615" s="6"/>
      <c r="W615" s="6"/>
      <c r="X615" s="6"/>
      <c r="Y615" s="6"/>
    </row>
    <row r="616" ht="31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25"/>
      <c r="Q616" s="6"/>
      <c r="R616" s="6"/>
      <c r="S616" s="6"/>
      <c r="T616" s="6"/>
      <c r="U616" s="6"/>
      <c r="V616" s="6"/>
      <c r="W616" s="6"/>
      <c r="X616" s="6"/>
      <c r="Y616" s="6"/>
    </row>
    <row r="617" ht="31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25"/>
      <c r="Q617" s="6"/>
      <c r="R617" s="6"/>
      <c r="S617" s="6"/>
      <c r="T617" s="6"/>
      <c r="U617" s="6"/>
      <c r="V617" s="6"/>
      <c r="W617" s="6"/>
      <c r="X617" s="6"/>
      <c r="Y617" s="6"/>
    </row>
    <row r="618" ht="31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25"/>
      <c r="Q618" s="6"/>
      <c r="R618" s="6"/>
      <c r="S618" s="6"/>
      <c r="T618" s="6"/>
      <c r="U618" s="6"/>
      <c r="V618" s="6"/>
      <c r="W618" s="6"/>
      <c r="X618" s="6"/>
      <c r="Y618" s="6"/>
    </row>
    <row r="619" ht="31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25"/>
      <c r="Q619" s="6"/>
      <c r="R619" s="6"/>
      <c r="S619" s="6"/>
      <c r="T619" s="6"/>
      <c r="U619" s="6"/>
      <c r="V619" s="6"/>
      <c r="W619" s="6"/>
      <c r="X619" s="6"/>
      <c r="Y619" s="6"/>
    </row>
    <row r="620" ht="31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25"/>
      <c r="Q620" s="6"/>
      <c r="R620" s="6"/>
      <c r="S620" s="6"/>
      <c r="T620" s="6"/>
      <c r="U620" s="6"/>
      <c r="V620" s="6"/>
      <c r="W620" s="6"/>
      <c r="X620" s="6"/>
      <c r="Y620" s="6"/>
    </row>
    <row r="621" ht="31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25"/>
      <c r="Q621" s="6"/>
      <c r="R621" s="6"/>
      <c r="S621" s="6"/>
      <c r="T621" s="6"/>
      <c r="U621" s="6"/>
      <c r="V621" s="6"/>
      <c r="W621" s="6"/>
      <c r="X621" s="6"/>
      <c r="Y621" s="6"/>
    </row>
    <row r="622" ht="31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25"/>
      <c r="Q622" s="6"/>
      <c r="R622" s="6"/>
      <c r="S622" s="6"/>
      <c r="T622" s="6"/>
      <c r="U622" s="6"/>
      <c r="V622" s="6"/>
      <c r="W622" s="6"/>
      <c r="X622" s="6"/>
      <c r="Y622" s="6"/>
    </row>
    <row r="623" ht="31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25"/>
      <c r="Q623" s="6"/>
      <c r="R623" s="6"/>
      <c r="S623" s="6"/>
      <c r="T623" s="6"/>
      <c r="U623" s="6"/>
      <c r="V623" s="6"/>
      <c r="W623" s="6"/>
      <c r="X623" s="6"/>
      <c r="Y623" s="6"/>
    </row>
    <row r="624" ht="31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25"/>
      <c r="Q624" s="6"/>
      <c r="R624" s="6"/>
      <c r="S624" s="6"/>
      <c r="T624" s="6"/>
      <c r="U624" s="6"/>
      <c r="V624" s="6"/>
      <c r="W624" s="6"/>
      <c r="X624" s="6"/>
      <c r="Y624" s="6"/>
    </row>
    <row r="625" ht="31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25"/>
      <c r="Q625" s="6"/>
      <c r="R625" s="6"/>
      <c r="S625" s="6"/>
      <c r="T625" s="6"/>
      <c r="U625" s="6"/>
      <c r="V625" s="6"/>
      <c r="W625" s="6"/>
      <c r="X625" s="6"/>
      <c r="Y625" s="6"/>
    </row>
    <row r="626" ht="31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25"/>
      <c r="Q626" s="6"/>
      <c r="R626" s="6"/>
      <c r="S626" s="6"/>
      <c r="T626" s="6"/>
      <c r="U626" s="6"/>
      <c r="V626" s="6"/>
      <c r="W626" s="6"/>
      <c r="X626" s="6"/>
      <c r="Y626" s="6"/>
    </row>
    <row r="627" ht="31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25"/>
      <c r="Q627" s="6"/>
      <c r="R627" s="6"/>
      <c r="S627" s="6"/>
      <c r="T627" s="6"/>
      <c r="U627" s="6"/>
      <c r="V627" s="6"/>
      <c r="W627" s="6"/>
      <c r="X627" s="6"/>
      <c r="Y627" s="6"/>
    </row>
    <row r="628" ht="31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25"/>
      <c r="Q628" s="6"/>
      <c r="R628" s="6"/>
      <c r="S628" s="6"/>
      <c r="T628" s="6"/>
      <c r="U628" s="6"/>
      <c r="V628" s="6"/>
      <c r="W628" s="6"/>
      <c r="X628" s="6"/>
      <c r="Y628" s="6"/>
    </row>
    <row r="629" ht="31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25"/>
      <c r="Q629" s="6"/>
      <c r="R629" s="6"/>
      <c r="S629" s="6"/>
      <c r="T629" s="6"/>
      <c r="U629" s="6"/>
      <c r="V629" s="6"/>
      <c r="W629" s="6"/>
      <c r="X629" s="6"/>
      <c r="Y629" s="6"/>
    </row>
    <row r="630" ht="31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25"/>
      <c r="Q630" s="6"/>
      <c r="R630" s="6"/>
      <c r="S630" s="6"/>
      <c r="T630" s="6"/>
      <c r="U630" s="6"/>
      <c r="V630" s="6"/>
      <c r="W630" s="6"/>
      <c r="X630" s="6"/>
      <c r="Y630" s="6"/>
    </row>
    <row r="631" ht="31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25"/>
      <c r="Q631" s="6"/>
      <c r="R631" s="6"/>
      <c r="S631" s="6"/>
      <c r="T631" s="6"/>
      <c r="U631" s="6"/>
      <c r="V631" s="6"/>
      <c r="W631" s="6"/>
      <c r="X631" s="6"/>
      <c r="Y631" s="6"/>
    </row>
    <row r="632" ht="31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25"/>
      <c r="Q632" s="6"/>
      <c r="R632" s="6"/>
      <c r="S632" s="6"/>
      <c r="T632" s="6"/>
      <c r="U632" s="6"/>
      <c r="V632" s="6"/>
      <c r="W632" s="6"/>
      <c r="X632" s="6"/>
      <c r="Y632" s="6"/>
    </row>
    <row r="633" ht="31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25"/>
      <c r="Q633" s="6"/>
      <c r="R633" s="6"/>
      <c r="S633" s="6"/>
      <c r="T633" s="6"/>
      <c r="U633" s="6"/>
      <c r="V633" s="6"/>
      <c r="W633" s="6"/>
      <c r="X633" s="6"/>
      <c r="Y633" s="6"/>
    </row>
    <row r="634" ht="31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25"/>
      <c r="Q634" s="6"/>
      <c r="R634" s="6"/>
      <c r="S634" s="6"/>
      <c r="T634" s="6"/>
      <c r="U634" s="6"/>
      <c r="V634" s="6"/>
      <c r="W634" s="6"/>
      <c r="X634" s="6"/>
      <c r="Y634" s="6"/>
    </row>
    <row r="635" ht="31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25"/>
      <c r="Q635" s="6"/>
      <c r="R635" s="6"/>
      <c r="S635" s="6"/>
      <c r="T635" s="6"/>
      <c r="U635" s="6"/>
      <c r="V635" s="6"/>
      <c r="W635" s="6"/>
      <c r="X635" s="6"/>
      <c r="Y635" s="6"/>
    </row>
    <row r="636" ht="31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25"/>
      <c r="Q636" s="6"/>
      <c r="R636" s="6"/>
      <c r="S636" s="6"/>
      <c r="T636" s="6"/>
      <c r="U636" s="6"/>
      <c r="V636" s="6"/>
      <c r="W636" s="6"/>
      <c r="X636" s="6"/>
      <c r="Y636" s="6"/>
    </row>
    <row r="637" ht="31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25"/>
      <c r="Q637" s="6"/>
      <c r="R637" s="6"/>
      <c r="S637" s="6"/>
      <c r="T637" s="6"/>
      <c r="U637" s="6"/>
      <c r="V637" s="6"/>
      <c r="W637" s="6"/>
      <c r="X637" s="6"/>
      <c r="Y637" s="6"/>
    </row>
    <row r="638" ht="31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25"/>
      <c r="Q638" s="6"/>
      <c r="R638" s="6"/>
      <c r="S638" s="6"/>
      <c r="T638" s="6"/>
      <c r="U638" s="6"/>
      <c r="V638" s="6"/>
      <c r="W638" s="6"/>
      <c r="X638" s="6"/>
      <c r="Y638" s="6"/>
    </row>
    <row r="639" ht="31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25"/>
      <c r="Q639" s="6"/>
      <c r="R639" s="6"/>
      <c r="S639" s="6"/>
      <c r="T639" s="6"/>
      <c r="U639" s="6"/>
      <c r="V639" s="6"/>
      <c r="W639" s="6"/>
      <c r="X639" s="6"/>
      <c r="Y639" s="6"/>
    </row>
    <row r="640" ht="31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25"/>
      <c r="Q640" s="6"/>
      <c r="R640" s="6"/>
      <c r="S640" s="6"/>
      <c r="T640" s="6"/>
      <c r="U640" s="6"/>
      <c r="V640" s="6"/>
      <c r="W640" s="6"/>
      <c r="X640" s="6"/>
      <c r="Y640" s="6"/>
    </row>
    <row r="641" ht="31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25"/>
      <c r="Q641" s="6"/>
      <c r="R641" s="6"/>
      <c r="S641" s="6"/>
      <c r="T641" s="6"/>
      <c r="U641" s="6"/>
      <c r="V641" s="6"/>
      <c r="W641" s="6"/>
      <c r="X641" s="6"/>
      <c r="Y641" s="6"/>
    </row>
    <row r="642" ht="31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25"/>
      <c r="Q642" s="6"/>
      <c r="R642" s="6"/>
      <c r="S642" s="6"/>
      <c r="T642" s="6"/>
      <c r="U642" s="6"/>
      <c r="V642" s="6"/>
      <c r="W642" s="6"/>
      <c r="X642" s="6"/>
      <c r="Y642" s="6"/>
    </row>
    <row r="643" ht="31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25"/>
      <c r="Q643" s="6"/>
      <c r="R643" s="6"/>
      <c r="S643" s="6"/>
      <c r="T643" s="6"/>
      <c r="U643" s="6"/>
      <c r="V643" s="6"/>
      <c r="W643" s="6"/>
      <c r="X643" s="6"/>
      <c r="Y643" s="6"/>
    </row>
    <row r="644" ht="31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25"/>
      <c r="Q644" s="6"/>
      <c r="R644" s="6"/>
      <c r="S644" s="6"/>
      <c r="T644" s="6"/>
      <c r="U644" s="6"/>
      <c r="V644" s="6"/>
      <c r="W644" s="6"/>
      <c r="X644" s="6"/>
      <c r="Y644" s="6"/>
    </row>
    <row r="645" ht="31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25"/>
      <c r="Q645" s="6"/>
      <c r="R645" s="6"/>
      <c r="S645" s="6"/>
      <c r="T645" s="6"/>
      <c r="U645" s="6"/>
      <c r="V645" s="6"/>
      <c r="W645" s="6"/>
      <c r="X645" s="6"/>
      <c r="Y645" s="6"/>
    </row>
    <row r="646" ht="31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25"/>
      <c r="Q646" s="6"/>
      <c r="R646" s="6"/>
      <c r="S646" s="6"/>
      <c r="T646" s="6"/>
      <c r="U646" s="6"/>
      <c r="V646" s="6"/>
      <c r="W646" s="6"/>
      <c r="X646" s="6"/>
      <c r="Y646" s="6"/>
    </row>
    <row r="647" ht="31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25"/>
      <c r="Q647" s="6"/>
      <c r="R647" s="6"/>
      <c r="S647" s="6"/>
      <c r="T647" s="6"/>
      <c r="U647" s="6"/>
      <c r="V647" s="6"/>
      <c r="W647" s="6"/>
      <c r="X647" s="6"/>
      <c r="Y647" s="6"/>
    </row>
    <row r="648" ht="31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25"/>
      <c r="Q648" s="6"/>
      <c r="R648" s="6"/>
      <c r="S648" s="6"/>
      <c r="T648" s="6"/>
      <c r="U648" s="6"/>
      <c r="V648" s="6"/>
      <c r="W648" s="6"/>
      <c r="X648" s="6"/>
      <c r="Y648" s="6"/>
    </row>
    <row r="649" ht="31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25"/>
      <c r="Q649" s="6"/>
      <c r="R649" s="6"/>
      <c r="S649" s="6"/>
      <c r="T649" s="6"/>
      <c r="U649" s="6"/>
      <c r="V649" s="6"/>
      <c r="W649" s="6"/>
      <c r="X649" s="6"/>
      <c r="Y649" s="6"/>
    </row>
    <row r="650" ht="31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25"/>
      <c r="Q650" s="6"/>
      <c r="R650" s="6"/>
      <c r="S650" s="6"/>
      <c r="T650" s="6"/>
      <c r="U650" s="6"/>
      <c r="V650" s="6"/>
      <c r="W650" s="6"/>
      <c r="X650" s="6"/>
      <c r="Y650" s="6"/>
    </row>
    <row r="651" ht="31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25"/>
      <c r="Q651" s="6"/>
      <c r="R651" s="6"/>
      <c r="S651" s="6"/>
      <c r="T651" s="6"/>
      <c r="U651" s="6"/>
      <c r="V651" s="6"/>
      <c r="W651" s="6"/>
      <c r="X651" s="6"/>
      <c r="Y651" s="6"/>
    </row>
    <row r="652" ht="31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25"/>
      <c r="Q652" s="6"/>
      <c r="R652" s="6"/>
      <c r="S652" s="6"/>
      <c r="T652" s="6"/>
      <c r="U652" s="6"/>
      <c r="V652" s="6"/>
      <c r="W652" s="6"/>
      <c r="X652" s="6"/>
      <c r="Y652" s="6"/>
    </row>
    <row r="653" ht="31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25"/>
      <c r="Q653" s="6"/>
      <c r="R653" s="6"/>
      <c r="S653" s="6"/>
      <c r="T653" s="6"/>
      <c r="U653" s="6"/>
      <c r="V653" s="6"/>
      <c r="W653" s="6"/>
      <c r="X653" s="6"/>
      <c r="Y653" s="6"/>
    </row>
    <row r="654" ht="31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25"/>
      <c r="Q654" s="6"/>
      <c r="R654" s="6"/>
      <c r="S654" s="6"/>
      <c r="T654" s="6"/>
      <c r="U654" s="6"/>
      <c r="V654" s="6"/>
      <c r="W654" s="6"/>
      <c r="X654" s="6"/>
      <c r="Y654" s="6"/>
    </row>
    <row r="655" ht="31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25"/>
      <c r="Q655" s="6"/>
      <c r="R655" s="6"/>
      <c r="S655" s="6"/>
      <c r="T655" s="6"/>
      <c r="U655" s="6"/>
      <c r="V655" s="6"/>
      <c r="W655" s="6"/>
      <c r="X655" s="6"/>
      <c r="Y655" s="6"/>
    </row>
    <row r="656" ht="31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25"/>
      <c r="Q656" s="6"/>
      <c r="R656" s="6"/>
      <c r="S656" s="6"/>
      <c r="T656" s="6"/>
      <c r="U656" s="6"/>
      <c r="V656" s="6"/>
      <c r="W656" s="6"/>
      <c r="X656" s="6"/>
      <c r="Y656" s="6"/>
    </row>
    <row r="657" ht="31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25"/>
      <c r="Q657" s="6"/>
      <c r="R657" s="6"/>
      <c r="S657" s="6"/>
      <c r="T657" s="6"/>
      <c r="U657" s="6"/>
      <c r="V657" s="6"/>
      <c r="W657" s="6"/>
      <c r="X657" s="6"/>
      <c r="Y657" s="6"/>
    </row>
    <row r="658" ht="31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25"/>
      <c r="Q658" s="6"/>
      <c r="R658" s="6"/>
      <c r="S658" s="6"/>
      <c r="T658" s="6"/>
      <c r="U658" s="6"/>
      <c r="V658" s="6"/>
      <c r="W658" s="6"/>
      <c r="X658" s="6"/>
      <c r="Y658" s="6"/>
    </row>
    <row r="659" ht="31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25"/>
      <c r="Q659" s="6"/>
      <c r="R659" s="6"/>
      <c r="S659" s="6"/>
      <c r="T659" s="6"/>
      <c r="U659" s="6"/>
      <c r="V659" s="6"/>
      <c r="W659" s="6"/>
      <c r="X659" s="6"/>
      <c r="Y659" s="6"/>
    </row>
    <row r="660" ht="31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25"/>
      <c r="Q660" s="6"/>
      <c r="R660" s="6"/>
      <c r="S660" s="6"/>
      <c r="T660" s="6"/>
      <c r="U660" s="6"/>
      <c r="V660" s="6"/>
      <c r="W660" s="6"/>
      <c r="X660" s="6"/>
      <c r="Y660" s="6"/>
    </row>
    <row r="661" ht="31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25"/>
      <c r="Q661" s="6"/>
      <c r="R661" s="6"/>
      <c r="S661" s="6"/>
      <c r="T661" s="6"/>
      <c r="U661" s="6"/>
      <c r="V661" s="6"/>
      <c r="W661" s="6"/>
      <c r="X661" s="6"/>
      <c r="Y661" s="6"/>
    </row>
    <row r="662" ht="31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25"/>
      <c r="Q662" s="6"/>
      <c r="R662" s="6"/>
      <c r="S662" s="6"/>
      <c r="T662" s="6"/>
      <c r="U662" s="6"/>
      <c r="V662" s="6"/>
      <c r="W662" s="6"/>
      <c r="X662" s="6"/>
      <c r="Y662" s="6"/>
    </row>
    <row r="663" ht="31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25"/>
      <c r="Q663" s="6"/>
      <c r="R663" s="6"/>
      <c r="S663" s="6"/>
      <c r="T663" s="6"/>
      <c r="U663" s="6"/>
      <c r="V663" s="6"/>
      <c r="W663" s="6"/>
      <c r="X663" s="6"/>
      <c r="Y663" s="6"/>
    </row>
    <row r="664" ht="31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25"/>
      <c r="Q664" s="6"/>
      <c r="R664" s="6"/>
      <c r="S664" s="6"/>
      <c r="T664" s="6"/>
      <c r="U664" s="6"/>
      <c r="V664" s="6"/>
      <c r="W664" s="6"/>
      <c r="X664" s="6"/>
      <c r="Y664" s="6"/>
    </row>
    <row r="665" ht="31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25"/>
      <c r="Q665" s="6"/>
      <c r="R665" s="6"/>
      <c r="S665" s="6"/>
      <c r="T665" s="6"/>
      <c r="U665" s="6"/>
      <c r="V665" s="6"/>
      <c r="W665" s="6"/>
      <c r="X665" s="6"/>
      <c r="Y665" s="6"/>
    </row>
    <row r="666" ht="31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25"/>
      <c r="Q666" s="6"/>
      <c r="R666" s="6"/>
      <c r="S666" s="6"/>
      <c r="T666" s="6"/>
      <c r="U666" s="6"/>
      <c r="V666" s="6"/>
      <c r="W666" s="6"/>
      <c r="X666" s="6"/>
      <c r="Y666" s="6"/>
    </row>
    <row r="667" ht="31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25"/>
      <c r="Q667" s="6"/>
      <c r="R667" s="6"/>
      <c r="S667" s="6"/>
      <c r="T667" s="6"/>
      <c r="U667" s="6"/>
      <c r="V667" s="6"/>
      <c r="W667" s="6"/>
      <c r="X667" s="6"/>
      <c r="Y667" s="6"/>
    </row>
    <row r="668" ht="31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25"/>
      <c r="Q668" s="6"/>
      <c r="R668" s="6"/>
      <c r="S668" s="6"/>
      <c r="T668" s="6"/>
      <c r="U668" s="6"/>
      <c r="V668" s="6"/>
      <c r="W668" s="6"/>
      <c r="X668" s="6"/>
      <c r="Y668" s="6"/>
    </row>
    <row r="669" ht="31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25"/>
      <c r="Q669" s="6"/>
      <c r="R669" s="6"/>
      <c r="S669" s="6"/>
      <c r="T669" s="6"/>
      <c r="U669" s="6"/>
      <c r="V669" s="6"/>
      <c r="W669" s="6"/>
      <c r="X669" s="6"/>
      <c r="Y669" s="6"/>
    </row>
    <row r="670" ht="31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25"/>
      <c r="Q670" s="6"/>
      <c r="R670" s="6"/>
      <c r="S670" s="6"/>
      <c r="T670" s="6"/>
      <c r="U670" s="6"/>
      <c r="V670" s="6"/>
      <c r="W670" s="6"/>
      <c r="X670" s="6"/>
      <c r="Y670" s="6"/>
    </row>
    <row r="671" ht="31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25"/>
      <c r="Q671" s="6"/>
      <c r="R671" s="6"/>
      <c r="S671" s="6"/>
      <c r="T671" s="6"/>
      <c r="U671" s="6"/>
      <c r="V671" s="6"/>
      <c r="W671" s="6"/>
      <c r="X671" s="6"/>
      <c r="Y671" s="6"/>
    </row>
    <row r="672" ht="31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25"/>
      <c r="Q672" s="6"/>
      <c r="R672" s="6"/>
      <c r="S672" s="6"/>
      <c r="T672" s="6"/>
      <c r="U672" s="6"/>
      <c r="V672" s="6"/>
      <c r="W672" s="6"/>
      <c r="X672" s="6"/>
      <c r="Y672" s="6"/>
    </row>
    <row r="673" ht="31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25"/>
      <c r="Q673" s="6"/>
      <c r="R673" s="6"/>
      <c r="S673" s="6"/>
      <c r="T673" s="6"/>
      <c r="U673" s="6"/>
      <c r="V673" s="6"/>
      <c r="W673" s="6"/>
      <c r="X673" s="6"/>
      <c r="Y673" s="6"/>
    </row>
    <row r="674" ht="31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25"/>
      <c r="Q674" s="6"/>
      <c r="R674" s="6"/>
      <c r="S674" s="6"/>
      <c r="T674" s="6"/>
      <c r="U674" s="6"/>
      <c r="V674" s="6"/>
      <c r="W674" s="6"/>
      <c r="X674" s="6"/>
      <c r="Y674" s="6"/>
    </row>
    <row r="675" ht="31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25"/>
      <c r="Q675" s="6"/>
      <c r="R675" s="6"/>
      <c r="S675" s="6"/>
      <c r="T675" s="6"/>
      <c r="U675" s="6"/>
      <c r="V675" s="6"/>
      <c r="W675" s="6"/>
      <c r="X675" s="6"/>
      <c r="Y675" s="6"/>
    </row>
    <row r="676" ht="31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25"/>
      <c r="Q676" s="6"/>
      <c r="R676" s="6"/>
      <c r="S676" s="6"/>
      <c r="T676" s="6"/>
      <c r="U676" s="6"/>
      <c r="V676" s="6"/>
      <c r="W676" s="6"/>
      <c r="X676" s="6"/>
      <c r="Y676" s="6"/>
    </row>
    <row r="677" ht="31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25"/>
      <c r="Q677" s="6"/>
      <c r="R677" s="6"/>
      <c r="S677" s="6"/>
      <c r="T677" s="6"/>
      <c r="U677" s="6"/>
      <c r="V677" s="6"/>
      <c r="W677" s="6"/>
      <c r="X677" s="6"/>
      <c r="Y677" s="6"/>
    </row>
    <row r="678" ht="31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25"/>
      <c r="Q678" s="6"/>
      <c r="R678" s="6"/>
      <c r="S678" s="6"/>
      <c r="T678" s="6"/>
      <c r="U678" s="6"/>
      <c r="V678" s="6"/>
      <c r="W678" s="6"/>
      <c r="X678" s="6"/>
      <c r="Y678" s="6"/>
    </row>
    <row r="679" ht="31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25"/>
      <c r="Q679" s="6"/>
      <c r="R679" s="6"/>
      <c r="S679" s="6"/>
      <c r="T679" s="6"/>
      <c r="U679" s="6"/>
      <c r="V679" s="6"/>
      <c r="W679" s="6"/>
      <c r="X679" s="6"/>
      <c r="Y679" s="6"/>
    </row>
    <row r="680" ht="31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25"/>
      <c r="Q680" s="6"/>
      <c r="R680" s="6"/>
      <c r="S680" s="6"/>
      <c r="T680" s="6"/>
      <c r="U680" s="6"/>
      <c r="V680" s="6"/>
      <c r="W680" s="6"/>
      <c r="X680" s="6"/>
      <c r="Y680" s="6"/>
    </row>
    <row r="681" ht="31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25"/>
      <c r="Q681" s="6"/>
      <c r="R681" s="6"/>
      <c r="S681" s="6"/>
      <c r="T681" s="6"/>
      <c r="U681" s="6"/>
      <c r="V681" s="6"/>
      <c r="W681" s="6"/>
      <c r="X681" s="6"/>
      <c r="Y681" s="6"/>
    </row>
    <row r="682" ht="31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25"/>
      <c r="Q682" s="6"/>
      <c r="R682" s="6"/>
      <c r="S682" s="6"/>
      <c r="T682" s="6"/>
      <c r="U682" s="6"/>
      <c r="V682" s="6"/>
      <c r="W682" s="6"/>
      <c r="X682" s="6"/>
      <c r="Y682" s="6"/>
    </row>
    <row r="683" ht="31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25"/>
      <c r="Q683" s="6"/>
      <c r="R683" s="6"/>
      <c r="S683" s="6"/>
      <c r="T683" s="6"/>
      <c r="U683" s="6"/>
      <c r="V683" s="6"/>
      <c r="W683" s="6"/>
      <c r="X683" s="6"/>
      <c r="Y683" s="6"/>
    </row>
    <row r="684" ht="31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25"/>
      <c r="Q684" s="6"/>
      <c r="R684" s="6"/>
      <c r="S684" s="6"/>
      <c r="T684" s="6"/>
      <c r="U684" s="6"/>
      <c r="V684" s="6"/>
      <c r="W684" s="6"/>
      <c r="X684" s="6"/>
      <c r="Y684" s="6"/>
    </row>
    <row r="685" ht="31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25"/>
      <c r="Q685" s="6"/>
      <c r="R685" s="6"/>
      <c r="S685" s="6"/>
      <c r="T685" s="6"/>
      <c r="U685" s="6"/>
      <c r="V685" s="6"/>
      <c r="W685" s="6"/>
      <c r="X685" s="6"/>
      <c r="Y685" s="6"/>
    </row>
    <row r="686" ht="31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25"/>
      <c r="Q686" s="6"/>
      <c r="R686" s="6"/>
      <c r="S686" s="6"/>
      <c r="T686" s="6"/>
      <c r="U686" s="6"/>
      <c r="V686" s="6"/>
      <c r="W686" s="6"/>
      <c r="X686" s="6"/>
      <c r="Y686" s="6"/>
    </row>
    <row r="687" ht="31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25"/>
      <c r="Q687" s="6"/>
      <c r="R687" s="6"/>
      <c r="S687" s="6"/>
      <c r="T687" s="6"/>
      <c r="U687" s="6"/>
      <c r="V687" s="6"/>
      <c r="W687" s="6"/>
      <c r="X687" s="6"/>
      <c r="Y687" s="6"/>
    </row>
    <row r="688" ht="31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25"/>
      <c r="Q688" s="6"/>
      <c r="R688" s="6"/>
      <c r="S688" s="6"/>
      <c r="T688" s="6"/>
      <c r="U688" s="6"/>
      <c r="V688" s="6"/>
      <c r="W688" s="6"/>
      <c r="X688" s="6"/>
      <c r="Y688" s="6"/>
    </row>
    <row r="689" ht="31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25"/>
      <c r="Q689" s="6"/>
      <c r="R689" s="6"/>
      <c r="S689" s="6"/>
      <c r="T689" s="6"/>
      <c r="U689" s="6"/>
      <c r="V689" s="6"/>
      <c r="W689" s="6"/>
      <c r="X689" s="6"/>
      <c r="Y689" s="6"/>
    </row>
    <row r="690" ht="31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25"/>
      <c r="Q690" s="6"/>
      <c r="R690" s="6"/>
      <c r="S690" s="6"/>
      <c r="T690" s="6"/>
      <c r="U690" s="6"/>
      <c r="V690" s="6"/>
      <c r="W690" s="6"/>
      <c r="X690" s="6"/>
      <c r="Y690" s="6"/>
    </row>
    <row r="691" ht="31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25"/>
      <c r="Q691" s="6"/>
      <c r="R691" s="6"/>
      <c r="S691" s="6"/>
      <c r="T691" s="6"/>
      <c r="U691" s="6"/>
      <c r="V691" s="6"/>
      <c r="W691" s="6"/>
      <c r="X691" s="6"/>
      <c r="Y691" s="6"/>
    </row>
    <row r="692" ht="31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25"/>
      <c r="Q692" s="6"/>
      <c r="R692" s="6"/>
      <c r="S692" s="6"/>
      <c r="T692" s="6"/>
      <c r="U692" s="6"/>
      <c r="V692" s="6"/>
      <c r="W692" s="6"/>
      <c r="X692" s="6"/>
      <c r="Y692" s="6"/>
    </row>
    <row r="693" ht="31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25"/>
      <c r="Q693" s="6"/>
      <c r="R693" s="6"/>
      <c r="S693" s="6"/>
      <c r="T693" s="6"/>
      <c r="U693" s="6"/>
      <c r="V693" s="6"/>
      <c r="W693" s="6"/>
      <c r="X693" s="6"/>
      <c r="Y693" s="6"/>
    </row>
    <row r="694" ht="31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25"/>
      <c r="Q694" s="6"/>
      <c r="R694" s="6"/>
      <c r="S694" s="6"/>
      <c r="T694" s="6"/>
      <c r="U694" s="6"/>
      <c r="V694" s="6"/>
      <c r="W694" s="6"/>
      <c r="X694" s="6"/>
      <c r="Y694" s="6"/>
    </row>
    <row r="695" ht="31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25"/>
      <c r="Q695" s="6"/>
      <c r="R695" s="6"/>
      <c r="S695" s="6"/>
      <c r="T695" s="6"/>
      <c r="U695" s="6"/>
      <c r="V695" s="6"/>
      <c r="W695" s="6"/>
      <c r="X695" s="6"/>
      <c r="Y695" s="6"/>
    </row>
    <row r="696" ht="31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25"/>
      <c r="Q696" s="6"/>
      <c r="R696" s="6"/>
      <c r="S696" s="6"/>
      <c r="T696" s="6"/>
      <c r="U696" s="6"/>
      <c r="V696" s="6"/>
      <c r="W696" s="6"/>
      <c r="X696" s="6"/>
      <c r="Y696" s="6"/>
    </row>
    <row r="697" ht="31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25"/>
      <c r="Q697" s="6"/>
      <c r="R697" s="6"/>
      <c r="S697" s="6"/>
      <c r="T697" s="6"/>
      <c r="U697" s="6"/>
      <c r="V697" s="6"/>
      <c r="W697" s="6"/>
      <c r="X697" s="6"/>
      <c r="Y697" s="6"/>
    </row>
    <row r="698" ht="31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25"/>
      <c r="Q698" s="6"/>
      <c r="R698" s="6"/>
      <c r="S698" s="6"/>
      <c r="T698" s="6"/>
      <c r="U698" s="6"/>
      <c r="V698" s="6"/>
      <c r="W698" s="6"/>
      <c r="X698" s="6"/>
      <c r="Y698" s="6"/>
    </row>
    <row r="699" ht="31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25"/>
      <c r="Q699" s="6"/>
      <c r="R699" s="6"/>
      <c r="S699" s="6"/>
      <c r="T699" s="6"/>
      <c r="U699" s="6"/>
      <c r="V699" s="6"/>
      <c r="W699" s="6"/>
      <c r="X699" s="6"/>
      <c r="Y699" s="6"/>
    </row>
    <row r="700" ht="31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25"/>
      <c r="Q700" s="6"/>
      <c r="R700" s="6"/>
      <c r="S700" s="6"/>
      <c r="T700" s="6"/>
      <c r="U700" s="6"/>
      <c r="V700" s="6"/>
      <c r="W700" s="6"/>
      <c r="X700" s="6"/>
      <c r="Y700" s="6"/>
    </row>
    <row r="701" ht="31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25"/>
      <c r="Q701" s="6"/>
      <c r="R701" s="6"/>
      <c r="S701" s="6"/>
      <c r="T701" s="6"/>
      <c r="U701" s="6"/>
      <c r="V701" s="6"/>
      <c r="W701" s="6"/>
      <c r="X701" s="6"/>
      <c r="Y701" s="6"/>
    </row>
    <row r="702" ht="31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25"/>
      <c r="Q702" s="6"/>
      <c r="R702" s="6"/>
      <c r="S702" s="6"/>
      <c r="T702" s="6"/>
      <c r="U702" s="6"/>
      <c r="V702" s="6"/>
      <c r="W702" s="6"/>
      <c r="X702" s="6"/>
      <c r="Y702" s="6"/>
    </row>
    <row r="703" ht="31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25"/>
      <c r="Q703" s="6"/>
      <c r="R703" s="6"/>
      <c r="S703" s="6"/>
      <c r="T703" s="6"/>
      <c r="U703" s="6"/>
      <c r="V703" s="6"/>
      <c r="W703" s="6"/>
      <c r="X703" s="6"/>
      <c r="Y703" s="6"/>
    </row>
    <row r="704" ht="31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25"/>
      <c r="Q704" s="6"/>
      <c r="R704" s="6"/>
      <c r="S704" s="6"/>
      <c r="T704" s="6"/>
      <c r="U704" s="6"/>
      <c r="V704" s="6"/>
      <c r="W704" s="6"/>
      <c r="X704" s="6"/>
      <c r="Y704" s="6"/>
    </row>
    <row r="705" ht="31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25"/>
      <c r="Q705" s="6"/>
      <c r="R705" s="6"/>
      <c r="S705" s="6"/>
      <c r="T705" s="6"/>
      <c r="U705" s="6"/>
      <c r="V705" s="6"/>
      <c r="W705" s="6"/>
      <c r="X705" s="6"/>
      <c r="Y705" s="6"/>
    </row>
    <row r="706" ht="31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25"/>
      <c r="Q706" s="6"/>
      <c r="R706" s="6"/>
      <c r="S706" s="6"/>
      <c r="T706" s="6"/>
      <c r="U706" s="6"/>
      <c r="V706" s="6"/>
      <c r="W706" s="6"/>
      <c r="X706" s="6"/>
      <c r="Y706" s="6"/>
    </row>
    <row r="707" ht="31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25"/>
      <c r="Q707" s="6"/>
      <c r="R707" s="6"/>
      <c r="S707" s="6"/>
      <c r="T707" s="6"/>
      <c r="U707" s="6"/>
      <c r="V707" s="6"/>
      <c r="W707" s="6"/>
      <c r="X707" s="6"/>
      <c r="Y707" s="6"/>
    </row>
    <row r="708" ht="31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25"/>
      <c r="Q708" s="6"/>
      <c r="R708" s="6"/>
      <c r="S708" s="6"/>
      <c r="T708" s="6"/>
      <c r="U708" s="6"/>
      <c r="V708" s="6"/>
      <c r="W708" s="6"/>
      <c r="X708" s="6"/>
      <c r="Y708" s="6"/>
    </row>
    <row r="709" ht="31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25"/>
      <c r="Q709" s="6"/>
      <c r="R709" s="6"/>
      <c r="S709" s="6"/>
      <c r="T709" s="6"/>
      <c r="U709" s="6"/>
      <c r="V709" s="6"/>
      <c r="W709" s="6"/>
      <c r="X709" s="6"/>
      <c r="Y709" s="6"/>
    </row>
    <row r="710" ht="31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25"/>
      <c r="Q710" s="6"/>
      <c r="R710" s="6"/>
      <c r="S710" s="6"/>
      <c r="T710" s="6"/>
      <c r="U710" s="6"/>
      <c r="V710" s="6"/>
      <c r="W710" s="6"/>
      <c r="X710" s="6"/>
      <c r="Y710" s="6"/>
    </row>
    <row r="711" ht="31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25"/>
      <c r="Q711" s="6"/>
      <c r="R711" s="6"/>
      <c r="S711" s="6"/>
      <c r="T711" s="6"/>
      <c r="U711" s="6"/>
      <c r="V711" s="6"/>
      <c r="W711" s="6"/>
      <c r="X711" s="6"/>
      <c r="Y711" s="6"/>
    </row>
    <row r="712" ht="31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25"/>
      <c r="Q712" s="6"/>
      <c r="R712" s="6"/>
      <c r="S712" s="6"/>
      <c r="T712" s="6"/>
      <c r="U712" s="6"/>
      <c r="V712" s="6"/>
      <c r="W712" s="6"/>
      <c r="X712" s="6"/>
      <c r="Y712" s="6"/>
    </row>
    <row r="713" ht="31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25"/>
      <c r="Q713" s="6"/>
      <c r="R713" s="6"/>
      <c r="S713" s="6"/>
      <c r="T713" s="6"/>
      <c r="U713" s="6"/>
      <c r="V713" s="6"/>
      <c r="W713" s="6"/>
      <c r="X713" s="6"/>
      <c r="Y713" s="6"/>
    </row>
    <row r="714" ht="31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25"/>
      <c r="Q714" s="6"/>
      <c r="R714" s="6"/>
      <c r="S714" s="6"/>
      <c r="T714" s="6"/>
      <c r="U714" s="6"/>
      <c r="V714" s="6"/>
      <c r="W714" s="6"/>
      <c r="X714" s="6"/>
      <c r="Y714" s="6"/>
    </row>
    <row r="715" ht="31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25"/>
      <c r="Q715" s="6"/>
      <c r="R715" s="6"/>
      <c r="S715" s="6"/>
      <c r="T715" s="6"/>
      <c r="U715" s="6"/>
      <c r="V715" s="6"/>
      <c r="W715" s="6"/>
      <c r="X715" s="6"/>
      <c r="Y715" s="6"/>
    </row>
    <row r="716" ht="31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25"/>
      <c r="Q716" s="6"/>
      <c r="R716" s="6"/>
      <c r="S716" s="6"/>
      <c r="T716" s="6"/>
      <c r="U716" s="6"/>
      <c r="V716" s="6"/>
      <c r="W716" s="6"/>
      <c r="X716" s="6"/>
      <c r="Y716" s="6"/>
    </row>
    <row r="717" ht="31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25"/>
      <c r="Q717" s="6"/>
      <c r="R717" s="6"/>
      <c r="S717" s="6"/>
      <c r="T717" s="6"/>
      <c r="U717" s="6"/>
      <c r="V717" s="6"/>
      <c r="W717" s="6"/>
      <c r="X717" s="6"/>
      <c r="Y717" s="6"/>
    </row>
    <row r="718" ht="31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25"/>
      <c r="Q718" s="6"/>
      <c r="R718" s="6"/>
      <c r="S718" s="6"/>
      <c r="T718" s="6"/>
      <c r="U718" s="6"/>
      <c r="V718" s="6"/>
      <c r="W718" s="6"/>
      <c r="X718" s="6"/>
      <c r="Y718" s="6"/>
    </row>
    <row r="719" ht="31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25"/>
      <c r="Q719" s="6"/>
      <c r="R719" s="6"/>
      <c r="S719" s="6"/>
      <c r="T719" s="6"/>
      <c r="U719" s="6"/>
      <c r="V719" s="6"/>
      <c r="W719" s="6"/>
      <c r="X719" s="6"/>
      <c r="Y719" s="6"/>
    </row>
    <row r="720" ht="31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25"/>
      <c r="Q720" s="6"/>
      <c r="R720" s="6"/>
      <c r="S720" s="6"/>
      <c r="T720" s="6"/>
      <c r="U720" s="6"/>
      <c r="V720" s="6"/>
      <c r="W720" s="6"/>
      <c r="X720" s="6"/>
      <c r="Y720" s="6"/>
    </row>
    <row r="721" ht="31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25"/>
      <c r="Q721" s="6"/>
      <c r="R721" s="6"/>
      <c r="S721" s="6"/>
      <c r="T721" s="6"/>
      <c r="U721" s="6"/>
      <c r="V721" s="6"/>
      <c r="W721" s="6"/>
      <c r="X721" s="6"/>
      <c r="Y721" s="6"/>
    </row>
    <row r="722" ht="31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25"/>
      <c r="Q722" s="6"/>
      <c r="R722" s="6"/>
      <c r="S722" s="6"/>
      <c r="T722" s="6"/>
      <c r="U722" s="6"/>
      <c r="V722" s="6"/>
      <c r="W722" s="6"/>
      <c r="X722" s="6"/>
      <c r="Y722" s="6"/>
    </row>
    <row r="723" ht="31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25"/>
      <c r="Q723" s="6"/>
      <c r="R723" s="6"/>
      <c r="S723" s="6"/>
      <c r="T723" s="6"/>
      <c r="U723" s="6"/>
      <c r="V723" s="6"/>
      <c r="W723" s="6"/>
      <c r="X723" s="6"/>
      <c r="Y723" s="6"/>
    </row>
    <row r="724" ht="31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25"/>
      <c r="Q724" s="6"/>
      <c r="R724" s="6"/>
      <c r="S724" s="6"/>
      <c r="T724" s="6"/>
      <c r="U724" s="6"/>
      <c r="V724" s="6"/>
      <c r="W724" s="6"/>
      <c r="X724" s="6"/>
      <c r="Y724" s="6"/>
    </row>
    <row r="725" ht="31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25"/>
      <c r="Q725" s="6"/>
      <c r="R725" s="6"/>
      <c r="S725" s="6"/>
      <c r="T725" s="6"/>
      <c r="U725" s="6"/>
      <c r="V725" s="6"/>
      <c r="W725" s="6"/>
      <c r="X725" s="6"/>
      <c r="Y725" s="6"/>
    </row>
    <row r="726" ht="31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25"/>
      <c r="Q726" s="6"/>
      <c r="R726" s="6"/>
      <c r="S726" s="6"/>
      <c r="T726" s="6"/>
      <c r="U726" s="6"/>
      <c r="V726" s="6"/>
      <c r="W726" s="6"/>
      <c r="X726" s="6"/>
      <c r="Y726" s="6"/>
    </row>
    <row r="727" ht="31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25"/>
      <c r="Q727" s="6"/>
      <c r="R727" s="6"/>
      <c r="S727" s="6"/>
      <c r="T727" s="6"/>
      <c r="U727" s="6"/>
      <c r="V727" s="6"/>
      <c r="W727" s="6"/>
      <c r="X727" s="6"/>
      <c r="Y727" s="6"/>
    </row>
    <row r="728" ht="31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25"/>
      <c r="Q728" s="6"/>
      <c r="R728" s="6"/>
      <c r="S728" s="6"/>
      <c r="T728" s="6"/>
      <c r="U728" s="6"/>
      <c r="V728" s="6"/>
      <c r="W728" s="6"/>
      <c r="X728" s="6"/>
      <c r="Y728" s="6"/>
    </row>
    <row r="729" ht="31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25"/>
      <c r="Q729" s="6"/>
      <c r="R729" s="6"/>
      <c r="S729" s="6"/>
      <c r="T729" s="6"/>
      <c r="U729" s="6"/>
      <c r="V729" s="6"/>
      <c r="W729" s="6"/>
      <c r="X729" s="6"/>
      <c r="Y729" s="6"/>
    </row>
    <row r="730" ht="31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25"/>
      <c r="Q730" s="6"/>
      <c r="R730" s="6"/>
      <c r="S730" s="6"/>
      <c r="T730" s="6"/>
      <c r="U730" s="6"/>
      <c r="V730" s="6"/>
      <c r="W730" s="6"/>
      <c r="X730" s="6"/>
      <c r="Y730" s="6"/>
    </row>
    <row r="731" ht="31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25"/>
      <c r="Q731" s="6"/>
      <c r="R731" s="6"/>
      <c r="S731" s="6"/>
      <c r="T731" s="6"/>
      <c r="U731" s="6"/>
      <c r="V731" s="6"/>
      <c r="W731" s="6"/>
      <c r="X731" s="6"/>
      <c r="Y731" s="6"/>
    </row>
    <row r="732" ht="31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25"/>
      <c r="Q732" s="6"/>
      <c r="R732" s="6"/>
      <c r="S732" s="6"/>
      <c r="T732" s="6"/>
      <c r="U732" s="6"/>
      <c r="V732" s="6"/>
      <c r="W732" s="6"/>
      <c r="X732" s="6"/>
      <c r="Y732" s="6"/>
    </row>
    <row r="733" ht="31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25"/>
      <c r="Q733" s="6"/>
      <c r="R733" s="6"/>
      <c r="S733" s="6"/>
      <c r="T733" s="6"/>
      <c r="U733" s="6"/>
      <c r="V733" s="6"/>
      <c r="W733" s="6"/>
      <c r="X733" s="6"/>
      <c r="Y733" s="6"/>
    </row>
    <row r="734" ht="31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25"/>
      <c r="Q734" s="6"/>
      <c r="R734" s="6"/>
      <c r="S734" s="6"/>
      <c r="T734" s="6"/>
      <c r="U734" s="6"/>
      <c r="V734" s="6"/>
      <c r="W734" s="6"/>
      <c r="X734" s="6"/>
      <c r="Y734" s="6"/>
    </row>
    <row r="735" ht="31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25"/>
      <c r="Q735" s="6"/>
      <c r="R735" s="6"/>
      <c r="S735" s="6"/>
      <c r="T735" s="6"/>
      <c r="U735" s="6"/>
      <c r="V735" s="6"/>
      <c r="W735" s="6"/>
      <c r="X735" s="6"/>
      <c r="Y735" s="6"/>
    </row>
    <row r="736" ht="31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25"/>
      <c r="Q736" s="6"/>
      <c r="R736" s="6"/>
      <c r="S736" s="6"/>
      <c r="T736" s="6"/>
      <c r="U736" s="6"/>
      <c r="V736" s="6"/>
      <c r="W736" s="6"/>
      <c r="X736" s="6"/>
      <c r="Y736" s="6"/>
    </row>
    <row r="737" ht="31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25"/>
      <c r="Q737" s="6"/>
      <c r="R737" s="6"/>
      <c r="S737" s="6"/>
      <c r="T737" s="6"/>
      <c r="U737" s="6"/>
      <c r="V737" s="6"/>
      <c r="W737" s="6"/>
      <c r="X737" s="6"/>
      <c r="Y737" s="6"/>
    </row>
    <row r="738" ht="31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25"/>
      <c r="Q738" s="6"/>
      <c r="R738" s="6"/>
      <c r="S738" s="6"/>
      <c r="T738" s="6"/>
      <c r="U738" s="6"/>
      <c r="V738" s="6"/>
      <c r="W738" s="6"/>
      <c r="X738" s="6"/>
      <c r="Y738" s="6"/>
    </row>
    <row r="739" ht="31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25"/>
      <c r="Q739" s="6"/>
      <c r="R739" s="6"/>
      <c r="S739" s="6"/>
      <c r="T739" s="6"/>
      <c r="U739" s="6"/>
      <c r="V739" s="6"/>
      <c r="W739" s="6"/>
      <c r="X739" s="6"/>
      <c r="Y739" s="6"/>
    </row>
    <row r="740" ht="31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25"/>
      <c r="Q740" s="6"/>
      <c r="R740" s="6"/>
      <c r="S740" s="6"/>
      <c r="T740" s="6"/>
      <c r="U740" s="6"/>
      <c r="V740" s="6"/>
      <c r="W740" s="6"/>
      <c r="X740" s="6"/>
      <c r="Y740" s="6"/>
    </row>
    <row r="741" ht="31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25"/>
      <c r="Q741" s="6"/>
      <c r="R741" s="6"/>
      <c r="S741" s="6"/>
      <c r="T741" s="6"/>
      <c r="U741" s="6"/>
      <c r="V741" s="6"/>
      <c r="W741" s="6"/>
      <c r="X741" s="6"/>
      <c r="Y741" s="6"/>
    </row>
    <row r="742" ht="31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25"/>
      <c r="Q742" s="6"/>
      <c r="R742" s="6"/>
      <c r="S742" s="6"/>
      <c r="T742" s="6"/>
      <c r="U742" s="6"/>
      <c r="V742" s="6"/>
      <c r="W742" s="6"/>
      <c r="X742" s="6"/>
      <c r="Y742" s="6"/>
    </row>
    <row r="743" ht="31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25"/>
      <c r="Q743" s="6"/>
      <c r="R743" s="6"/>
      <c r="S743" s="6"/>
      <c r="T743" s="6"/>
      <c r="U743" s="6"/>
      <c r="V743" s="6"/>
      <c r="W743" s="6"/>
      <c r="X743" s="6"/>
      <c r="Y743" s="6"/>
    </row>
    <row r="744" ht="31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25"/>
      <c r="Q744" s="6"/>
      <c r="R744" s="6"/>
      <c r="S744" s="6"/>
      <c r="T744" s="6"/>
      <c r="U744" s="6"/>
      <c r="V744" s="6"/>
      <c r="W744" s="6"/>
      <c r="X744" s="6"/>
      <c r="Y744" s="6"/>
    </row>
    <row r="745" ht="31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25"/>
      <c r="Q745" s="6"/>
      <c r="R745" s="6"/>
      <c r="S745" s="6"/>
      <c r="T745" s="6"/>
      <c r="U745" s="6"/>
      <c r="V745" s="6"/>
      <c r="W745" s="6"/>
      <c r="X745" s="6"/>
      <c r="Y745" s="6"/>
    </row>
    <row r="746" ht="31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25"/>
      <c r="Q746" s="6"/>
      <c r="R746" s="6"/>
      <c r="S746" s="6"/>
      <c r="T746" s="6"/>
      <c r="U746" s="6"/>
      <c r="V746" s="6"/>
      <c r="W746" s="6"/>
      <c r="X746" s="6"/>
      <c r="Y746" s="6"/>
    </row>
    <row r="747" ht="31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25"/>
      <c r="Q747" s="6"/>
      <c r="R747" s="6"/>
      <c r="S747" s="6"/>
      <c r="T747" s="6"/>
      <c r="U747" s="6"/>
      <c r="V747" s="6"/>
      <c r="W747" s="6"/>
      <c r="X747" s="6"/>
      <c r="Y747" s="6"/>
    </row>
    <row r="748" ht="31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25"/>
      <c r="Q748" s="6"/>
      <c r="R748" s="6"/>
      <c r="S748" s="6"/>
      <c r="T748" s="6"/>
      <c r="U748" s="6"/>
      <c r="V748" s="6"/>
      <c r="W748" s="6"/>
      <c r="X748" s="6"/>
      <c r="Y748" s="6"/>
    </row>
    <row r="749" ht="31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25"/>
      <c r="Q749" s="6"/>
      <c r="R749" s="6"/>
      <c r="S749" s="6"/>
      <c r="T749" s="6"/>
      <c r="U749" s="6"/>
      <c r="V749" s="6"/>
      <c r="W749" s="6"/>
      <c r="X749" s="6"/>
      <c r="Y749" s="6"/>
    </row>
    <row r="750" ht="31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25"/>
      <c r="Q750" s="6"/>
      <c r="R750" s="6"/>
      <c r="S750" s="6"/>
      <c r="T750" s="6"/>
      <c r="U750" s="6"/>
      <c r="V750" s="6"/>
      <c r="W750" s="6"/>
      <c r="X750" s="6"/>
      <c r="Y750" s="6"/>
    </row>
    <row r="751" ht="31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25"/>
      <c r="Q751" s="6"/>
      <c r="R751" s="6"/>
      <c r="S751" s="6"/>
      <c r="T751" s="6"/>
      <c r="U751" s="6"/>
      <c r="V751" s="6"/>
      <c r="W751" s="6"/>
      <c r="X751" s="6"/>
      <c r="Y751" s="6"/>
    </row>
    <row r="752" ht="31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25"/>
      <c r="Q752" s="6"/>
      <c r="R752" s="6"/>
      <c r="S752" s="6"/>
      <c r="T752" s="6"/>
      <c r="U752" s="6"/>
      <c r="V752" s="6"/>
      <c r="W752" s="6"/>
      <c r="X752" s="6"/>
      <c r="Y752" s="6"/>
    </row>
    <row r="753" ht="31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25"/>
      <c r="Q753" s="6"/>
      <c r="R753" s="6"/>
      <c r="S753" s="6"/>
      <c r="T753" s="6"/>
      <c r="U753" s="6"/>
      <c r="V753" s="6"/>
      <c r="W753" s="6"/>
      <c r="X753" s="6"/>
      <c r="Y753" s="6"/>
    </row>
    <row r="754" ht="31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25"/>
      <c r="Q754" s="6"/>
      <c r="R754" s="6"/>
      <c r="S754" s="6"/>
      <c r="T754" s="6"/>
      <c r="U754" s="6"/>
      <c r="V754" s="6"/>
      <c r="W754" s="6"/>
      <c r="X754" s="6"/>
      <c r="Y754" s="6"/>
    </row>
    <row r="755" ht="31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25"/>
      <c r="Q755" s="6"/>
      <c r="R755" s="6"/>
      <c r="S755" s="6"/>
      <c r="T755" s="6"/>
      <c r="U755" s="6"/>
      <c r="V755" s="6"/>
      <c r="W755" s="6"/>
      <c r="X755" s="6"/>
      <c r="Y755" s="6"/>
    </row>
    <row r="756" ht="31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25"/>
      <c r="Q756" s="6"/>
      <c r="R756" s="6"/>
      <c r="S756" s="6"/>
      <c r="T756" s="6"/>
      <c r="U756" s="6"/>
      <c r="V756" s="6"/>
      <c r="W756" s="6"/>
      <c r="X756" s="6"/>
      <c r="Y756" s="6"/>
    </row>
    <row r="757" ht="31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25"/>
      <c r="Q757" s="6"/>
      <c r="R757" s="6"/>
      <c r="S757" s="6"/>
      <c r="T757" s="6"/>
      <c r="U757" s="6"/>
      <c r="V757" s="6"/>
      <c r="W757" s="6"/>
      <c r="X757" s="6"/>
      <c r="Y757" s="6"/>
    </row>
    <row r="758" ht="31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25"/>
      <c r="Q758" s="6"/>
      <c r="R758" s="6"/>
      <c r="S758" s="6"/>
      <c r="T758" s="6"/>
      <c r="U758" s="6"/>
      <c r="V758" s="6"/>
      <c r="W758" s="6"/>
      <c r="X758" s="6"/>
      <c r="Y758" s="6"/>
    </row>
    <row r="759" ht="31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25"/>
      <c r="Q759" s="6"/>
      <c r="R759" s="6"/>
      <c r="S759" s="6"/>
      <c r="T759" s="6"/>
      <c r="U759" s="6"/>
      <c r="V759" s="6"/>
      <c r="W759" s="6"/>
      <c r="X759" s="6"/>
      <c r="Y759" s="6"/>
    </row>
    <row r="760" ht="31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25"/>
      <c r="Q760" s="6"/>
      <c r="R760" s="6"/>
      <c r="S760" s="6"/>
      <c r="T760" s="6"/>
      <c r="U760" s="6"/>
      <c r="V760" s="6"/>
      <c r="W760" s="6"/>
      <c r="X760" s="6"/>
      <c r="Y760" s="6"/>
    </row>
    <row r="761" ht="31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25"/>
      <c r="Q761" s="6"/>
      <c r="R761" s="6"/>
      <c r="S761" s="6"/>
      <c r="T761" s="6"/>
      <c r="U761" s="6"/>
      <c r="V761" s="6"/>
      <c r="W761" s="6"/>
      <c r="X761" s="6"/>
      <c r="Y761" s="6"/>
    </row>
    <row r="762" ht="31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25"/>
      <c r="Q762" s="6"/>
      <c r="R762" s="6"/>
      <c r="S762" s="6"/>
      <c r="T762" s="6"/>
      <c r="U762" s="6"/>
      <c r="V762" s="6"/>
      <c r="W762" s="6"/>
      <c r="X762" s="6"/>
      <c r="Y762" s="6"/>
    </row>
    <row r="763" ht="31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25"/>
      <c r="Q763" s="6"/>
      <c r="R763" s="6"/>
      <c r="S763" s="6"/>
      <c r="T763" s="6"/>
      <c r="U763" s="6"/>
      <c r="V763" s="6"/>
      <c r="W763" s="6"/>
      <c r="X763" s="6"/>
      <c r="Y763" s="6"/>
    </row>
    <row r="764" ht="31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25"/>
      <c r="Q764" s="6"/>
      <c r="R764" s="6"/>
      <c r="S764" s="6"/>
      <c r="T764" s="6"/>
      <c r="U764" s="6"/>
      <c r="V764" s="6"/>
      <c r="W764" s="6"/>
      <c r="X764" s="6"/>
      <c r="Y764" s="6"/>
    </row>
    <row r="765" ht="31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25"/>
      <c r="Q765" s="6"/>
      <c r="R765" s="6"/>
      <c r="S765" s="6"/>
      <c r="T765" s="6"/>
      <c r="U765" s="6"/>
      <c r="V765" s="6"/>
      <c r="W765" s="6"/>
      <c r="X765" s="6"/>
      <c r="Y765" s="6"/>
    </row>
    <row r="766" ht="31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25"/>
      <c r="Q766" s="6"/>
      <c r="R766" s="6"/>
      <c r="S766" s="6"/>
      <c r="T766" s="6"/>
      <c r="U766" s="6"/>
      <c r="V766" s="6"/>
      <c r="W766" s="6"/>
      <c r="X766" s="6"/>
      <c r="Y766" s="6"/>
    </row>
    <row r="767" ht="31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25"/>
      <c r="Q767" s="6"/>
      <c r="R767" s="6"/>
      <c r="S767" s="6"/>
      <c r="T767" s="6"/>
      <c r="U767" s="6"/>
      <c r="V767" s="6"/>
      <c r="W767" s="6"/>
      <c r="X767" s="6"/>
      <c r="Y767" s="6"/>
    </row>
    <row r="768" ht="31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25"/>
      <c r="Q768" s="6"/>
      <c r="R768" s="6"/>
      <c r="S768" s="6"/>
      <c r="T768" s="6"/>
      <c r="U768" s="6"/>
      <c r="V768" s="6"/>
      <c r="W768" s="6"/>
      <c r="X768" s="6"/>
      <c r="Y768" s="6"/>
    </row>
    <row r="769" ht="31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25"/>
      <c r="Q769" s="6"/>
      <c r="R769" s="6"/>
      <c r="S769" s="6"/>
      <c r="T769" s="6"/>
      <c r="U769" s="6"/>
      <c r="V769" s="6"/>
      <c r="W769" s="6"/>
      <c r="X769" s="6"/>
      <c r="Y769" s="6"/>
    </row>
    <row r="770" ht="31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25"/>
      <c r="Q770" s="6"/>
      <c r="R770" s="6"/>
      <c r="S770" s="6"/>
      <c r="T770" s="6"/>
      <c r="U770" s="6"/>
      <c r="V770" s="6"/>
      <c r="W770" s="6"/>
      <c r="X770" s="6"/>
      <c r="Y770" s="6"/>
    </row>
    <row r="771" ht="31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25"/>
      <c r="Q771" s="6"/>
      <c r="R771" s="6"/>
      <c r="S771" s="6"/>
      <c r="T771" s="6"/>
      <c r="U771" s="6"/>
      <c r="V771" s="6"/>
      <c r="W771" s="6"/>
      <c r="X771" s="6"/>
      <c r="Y771" s="6"/>
    </row>
    <row r="772" ht="31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25"/>
      <c r="Q772" s="6"/>
      <c r="R772" s="6"/>
      <c r="S772" s="6"/>
      <c r="T772" s="6"/>
      <c r="U772" s="6"/>
      <c r="V772" s="6"/>
      <c r="W772" s="6"/>
      <c r="X772" s="6"/>
      <c r="Y772" s="6"/>
    </row>
    <row r="773" ht="31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25"/>
      <c r="Q773" s="6"/>
      <c r="R773" s="6"/>
      <c r="S773" s="6"/>
      <c r="T773" s="6"/>
      <c r="U773" s="6"/>
      <c r="V773" s="6"/>
      <c r="W773" s="6"/>
      <c r="X773" s="6"/>
      <c r="Y773" s="6"/>
    </row>
    <row r="774" ht="31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25"/>
      <c r="Q774" s="6"/>
      <c r="R774" s="6"/>
      <c r="S774" s="6"/>
      <c r="T774" s="6"/>
      <c r="U774" s="6"/>
      <c r="V774" s="6"/>
      <c r="W774" s="6"/>
      <c r="X774" s="6"/>
      <c r="Y774" s="6"/>
    </row>
    <row r="775" ht="31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25"/>
      <c r="Q775" s="6"/>
      <c r="R775" s="6"/>
      <c r="S775" s="6"/>
      <c r="T775" s="6"/>
      <c r="U775" s="6"/>
      <c r="V775" s="6"/>
      <c r="W775" s="6"/>
      <c r="X775" s="6"/>
      <c r="Y775" s="6"/>
    </row>
    <row r="776" ht="31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25"/>
      <c r="Q776" s="6"/>
      <c r="R776" s="6"/>
      <c r="S776" s="6"/>
      <c r="T776" s="6"/>
      <c r="U776" s="6"/>
      <c r="V776" s="6"/>
      <c r="W776" s="6"/>
      <c r="X776" s="6"/>
      <c r="Y776" s="6"/>
    </row>
    <row r="777" ht="31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25"/>
      <c r="Q777" s="6"/>
      <c r="R777" s="6"/>
      <c r="S777" s="6"/>
      <c r="T777" s="6"/>
      <c r="U777" s="6"/>
      <c r="V777" s="6"/>
      <c r="W777" s="6"/>
      <c r="X777" s="6"/>
      <c r="Y777" s="6"/>
    </row>
    <row r="778" ht="31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25"/>
      <c r="Q778" s="6"/>
      <c r="R778" s="6"/>
      <c r="S778" s="6"/>
      <c r="T778" s="6"/>
      <c r="U778" s="6"/>
      <c r="V778" s="6"/>
      <c r="W778" s="6"/>
      <c r="X778" s="6"/>
      <c r="Y778" s="6"/>
    </row>
    <row r="779" ht="31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25"/>
      <c r="Q779" s="6"/>
      <c r="R779" s="6"/>
      <c r="S779" s="6"/>
      <c r="T779" s="6"/>
      <c r="U779" s="6"/>
      <c r="V779" s="6"/>
      <c r="W779" s="6"/>
      <c r="X779" s="6"/>
      <c r="Y779" s="6"/>
    </row>
    <row r="780" ht="31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25"/>
      <c r="Q780" s="6"/>
      <c r="R780" s="6"/>
      <c r="S780" s="6"/>
      <c r="T780" s="6"/>
      <c r="U780" s="6"/>
      <c r="V780" s="6"/>
      <c r="W780" s="6"/>
      <c r="X780" s="6"/>
      <c r="Y780" s="6"/>
    </row>
    <row r="781" ht="31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25"/>
      <c r="Q781" s="6"/>
      <c r="R781" s="6"/>
      <c r="S781" s="6"/>
      <c r="T781" s="6"/>
      <c r="U781" s="6"/>
      <c r="V781" s="6"/>
      <c r="W781" s="6"/>
      <c r="X781" s="6"/>
      <c r="Y781" s="6"/>
    </row>
    <row r="782" ht="31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25"/>
      <c r="Q782" s="6"/>
      <c r="R782" s="6"/>
      <c r="S782" s="6"/>
      <c r="T782" s="6"/>
      <c r="U782" s="6"/>
      <c r="V782" s="6"/>
      <c r="W782" s="6"/>
      <c r="X782" s="6"/>
      <c r="Y782" s="6"/>
    </row>
    <row r="783" ht="31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25"/>
      <c r="Q783" s="6"/>
      <c r="R783" s="6"/>
      <c r="S783" s="6"/>
      <c r="T783" s="6"/>
      <c r="U783" s="6"/>
      <c r="V783" s="6"/>
      <c r="W783" s="6"/>
      <c r="X783" s="6"/>
      <c r="Y783" s="6"/>
    </row>
    <row r="784" ht="31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25"/>
      <c r="Q784" s="6"/>
      <c r="R784" s="6"/>
      <c r="S784" s="6"/>
      <c r="T784" s="6"/>
      <c r="U784" s="6"/>
      <c r="V784" s="6"/>
      <c r="W784" s="6"/>
      <c r="X784" s="6"/>
      <c r="Y784" s="6"/>
    </row>
    <row r="785" ht="31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25"/>
      <c r="Q785" s="6"/>
      <c r="R785" s="6"/>
      <c r="S785" s="6"/>
      <c r="T785" s="6"/>
      <c r="U785" s="6"/>
      <c r="V785" s="6"/>
      <c r="W785" s="6"/>
      <c r="X785" s="6"/>
      <c r="Y785" s="6"/>
    </row>
    <row r="786" ht="31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25"/>
      <c r="Q786" s="6"/>
      <c r="R786" s="6"/>
      <c r="S786" s="6"/>
      <c r="T786" s="6"/>
      <c r="U786" s="6"/>
      <c r="V786" s="6"/>
      <c r="W786" s="6"/>
      <c r="X786" s="6"/>
      <c r="Y786" s="6"/>
    </row>
    <row r="787" ht="31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25"/>
      <c r="Q787" s="6"/>
      <c r="R787" s="6"/>
      <c r="S787" s="6"/>
      <c r="T787" s="6"/>
      <c r="U787" s="6"/>
      <c r="V787" s="6"/>
      <c r="W787" s="6"/>
      <c r="X787" s="6"/>
      <c r="Y787" s="6"/>
    </row>
    <row r="788" ht="31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25"/>
      <c r="Q788" s="6"/>
      <c r="R788" s="6"/>
      <c r="S788" s="6"/>
      <c r="T788" s="6"/>
      <c r="U788" s="6"/>
      <c r="V788" s="6"/>
      <c r="W788" s="6"/>
      <c r="X788" s="6"/>
      <c r="Y788" s="6"/>
    </row>
    <row r="789" ht="31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25"/>
      <c r="Q789" s="6"/>
      <c r="R789" s="6"/>
      <c r="S789" s="6"/>
      <c r="T789" s="6"/>
      <c r="U789" s="6"/>
      <c r="V789" s="6"/>
      <c r="W789" s="6"/>
      <c r="X789" s="6"/>
      <c r="Y789" s="6"/>
    </row>
    <row r="790" ht="31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25"/>
      <c r="Q790" s="6"/>
      <c r="R790" s="6"/>
      <c r="S790" s="6"/>
      <c r="T790" s="6"/>
      <c r="U790" s="6"/>
      <c r="V790" s="6"/>
      <c r="W790" s="6"/>
      <c r="X790" s="6"/>
      <c r="Y790" s="6"/>
    </row>
    <row r="791" ht="31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25"/>
      <c r="Q791" s="6"/>
      <c r="R791" s="6"/>
      <c r="S791" s="6"/>
      <c r="T791" s="6"/>
      <c r="U791" s="6"/>
      <c r="V791" s="6"/>
      <c r="W791" s="6"/>
      <c r="X791" s="6"/>
      <c r="Y791" s="6"/>
    </row>
    <row r="792" ht="31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25"/>
      <c r="Q792" s="6"/>
      <c r="R792" s="6"/>
      <c r="S792" s="6"/>
      <c r="T792" s="6"/>
      <c r="U792" s="6"/>
      <c r="V792" s="6"/>
      <c r="W792" s="6"/>
      <c r="X792" s="6"/>
      <c r="Y792" s="6"/>
    </row>
    <row r="793" ht="31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25"/>
      <c r="Q793" s="6"/>
      <c r="R793" s="6"/>
      <c r="S793" s="6"/>
      <c r="T793" s="6"/>
      <c r="U793" s="6"/>
      <c r="V793" s="6"/>
      <c r="W793" s="6"/>
      <c r="X793" s="6"/>
      <c r="Y793" s="6"/>
    </row>
    <row r="794" ht="31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25"/>
      <c r="Q794" s="6"/>
      <c r="R794" s="6"/>
      <c r="S794" s="6"/>
      <c r="T794" s="6"/>
      <c r="U794" s="6"/>
      <c r="V794" s="6"/>
      <c r="W794" s="6"/>
      <c r="X794" s="6"/>
      <c r="Y794" s="6"/>
    </row>
    <row r="795" ht="31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25"/>
      <c r="Q795" s="6"/>
      <c r="R795" s="6"/>
      <c r="S795" s="6"/>
      <c r="T795" s="6"/>
      <c r="U795" s="6"/>
      <c r="V795" s="6"/>
      <c r="W795" s="6"/>
      <c r="X795" s="6"/>
      <c r="Y795" s="6"/>
    </row>
    <row r="796" ht="31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25"/>
      <c r="Q796" s="6"/>
      <c r="R796" s="6"/>
      <c r="S796" s="6"/>
      <c r="T796" s="6"/>
      <c r="U796" s="6"/>
      <c r="V796" s="6"/>
      <c r="W796" s="6"/>
      <c r="X796" s="6"/>
      <c r="Y796" s="6"/>
    </row>
    <row r="797" ht="31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25"/>
      <c r="Q797" s="6"/>
      <c r="R797" s="6"/>
      <c r="S797" s="6"/>
      <c r="T797" s="6"/>
      <c r="U797" s="6"/>
      <c r="V797" s="6"/>
      <c r="W797" s="6"/>
      <c r="X797" s="6"/>
      <c r="Y797" s="6"/>
    </row>
    <row r="798" ht="31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25"/>
      <c r="Q798" s="6"/>
      <c r="R798" s="6"/>
      <c r="S798" s="6"/>
      <c r="T798" s="6"/>
      <c r="U798" s="6"/>
      <c r="V798" s="6"/>
      <c r="W798" s="6"/>
      <c r="X798" s="6"/>
      <c r="Y798" s="6"/>
    </row>
    <row r="799" ht="31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25"/>
      <c r="Q799" s="6"/>
      <c r="R799" s="6"/>
      <c r="S799" s="6"/>
      <c r="T799" s="6"/>
      <c r="U799" s="6"/>
      <c r="V799" s="6"/>
      <c r="W799" s="6"/>
      <c r="X799" s="6"/>
      <c r="Y799" s="6"/>
    </row>
    <row r="800" ht="31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25"/>
      <c r="Q800" s="6"/>
      <c r="R800" s="6"/>
      <c r="S800" s="6"/>
      <c r="T800" s="6"/>
      <c r="U800" s="6"/>
      <c r="V800" s="6"/>
      <c r="W800" s="6"/>
      <c r="X800" s="6"/>
      <c r="Y800" s="6"/>
    </row>
    <row r="801" ht="31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25"/>
      <c r="Q801" s="6"/>
      <c r="R801" s="6"/>
      <c r="S801" s="6"/>
      <c r="T801" s="6"/>
      <c r="U801" s="6"/>
      <c r="V801" s="6"/>
      <c r="W801" s="6"/>
      <c r="X801" s="6"/>
      <c r="Y801" s="6"/>
    </row>
    <row r="802" ht="31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25"/>
      <c r="Q802" s="6"/>
      <c r="R802" s="6"/>
      <c r="S802" s="6"/>
      <c r="T802" s="6"/>
      <c r="U802" s="6"/>
      <c r="V802" s="6"/>
      <c r="W802" s="6"/>
      <c r="X802" s="6"/>
      <c r="Y802" s="6"/>
    </row>
    <row r="803" ht="31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25"/>
      <c r="Q803" s="6"/>
      <c r="R803" s="6"/>
      <c r="S803" s="6"/>
      <c r="T803" s="6"/>
      <c r="U803" s="6"/>
      <c r="V803" s="6"/>
      <c r="W803" s="6"/>
      <c r="X803" s="6"/>
      <c r="Y803" s="6"/>
    </row>
    <row r="804" ht="31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25"/>
      <c r="Q804" s="6"/>
      <c r="R804" s="6"/>
      <c r="S804" s="6"/>
      <c r="T804" s="6"/>
      <c r="U804" s="6"/>
      <c r="V804" s="6"/>
      <c r="W804" s="6"/>
      <c r="X804" s="6"/>
      <c r="Y804" s="6"/>
    </row>
    <row r="805" ht="31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25"/>
      <c r="Q805" s="6"/>
      <c r="R805" s="6"/>
      <c r="S805" s="6"/>
      <c r="T805" s="6"/>
      <c r="U805" s="6"/>
      <c r="V805" s="6"/>
      <c r="W805" s="6"/>
      <c r="X805" s="6"/>
      <c r="Y805" s="6"/>
    </row>
    <row r="806" ht="31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25"/>
      <c r="Q806" s="6"/>
      <c r="R806" s="6"/>
      <c r="S806" s="6"/>
      <c r="T806" s="6"/>
      <c r="U806" s="6"/>
      <c r="V806" s="6"/>
      <c r="W806" s="6"/>
      <c r="X806" s="6"/>
      <c r="Y806" s="6"/>
    </row>
    <row r="807" ht="31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25"/>
      <c r="Q807" s="6"/>
      <c r="R807" s="6"/>
      <c r="S807" s="6"/>
      <c r="T807" s="6"/>
      <c r="U807" s="6"/>
      <c r="V807" s="6"/>
      <c r="W807" s="6"/>
      <c r="X807" s="6"/>
      <c r="Y807" s="6"/>
    </row>
    <row r="808" ht="31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25"/>
      <c r="Q808" s="6"/>
      <c r="R808" s="6"/>
      <c r="S808" s="6"/>
      <c r="T808" s="6"/>
      <c r="U808" s="6"/>
      <c r="V808" s="6"/>
      <c r="W808" s="6"/>
      <c r="X808" s="6"/>
      <c r="Y808" s="6"/>
    </row>
    <row r="809" ht="31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25"/>
      <c r="Q809" s="6"/>
      <c r="R809" s="6"/>
      <c r="S809" s="6"/>
      <c r="T809" s="6"/>
      <c r="U809" s="6"/>
      <c r="V809" s="6"/>
      <c r="W809" s="6"/>
      <c r="X809" s="6"/>
      <c r="Y809" s="6"/>
    </row>
    <row r="810" ht="31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25"/>
      <c r="Q810" s="6"/>
      <c r="R810" s="6"/>
      <c r="S810" s="6"/>
      <c r="T810" s="6"/>
      <c r="U810" s="6"/>
      <c r="V810" s="6"/>
      <c r="W810" s="6"/>
      <c r="X810" s="6"/>
      <c r="Y810" s="6"/>
    </row>
    <row r="811" ht="31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25"/>
      <c r="Q811" s="6"/>
      <c r="R811" s="6"/>
      <c r="S811" s="6"/>
      <c r="T811" s="6"/>
      <c r="U811" s="6"/>
      <c r="V811" s="6"/>
      <c r="W811" s="6"/>
      <c r="X811" s="6"/>
      <c r="Y811" s="6"/>
    </row>
    <row r="812" ht="31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25"/>
      <c r="Q812" s="6"/>
      <c r="R812" s="6"/>
      <c r="S812" s="6"/>
      <c r="T812" s="6"/>
      <c r="U812" s="6"/>
      <c r="V812" s="6"/>
      <c r="W812" s="6"/>
      <c r="X812" s="6"/>
      <c r="Y812" s="6"/>
    </row>
    <row r="813" ht="31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25"/>
      <c r="Q813" s="6"/>
      <c r="R813" s="6"/>
      <c r="S813" s="6"/>
      <c r="T813" s="6"/>
      <c r="U813" s="6"/>
      <c r="V813" s="6"/>
      <c r="W813" s="6"/>
      <c r="X813" s="6"/>
      <c r="Y813" s="6"/>
    </row>
    <row r="814" ht="31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25"/>
      <c r="Q814" s="6"/>
      <c r="R814" s="6"/>
      <c r="S814" s="6"/>
      <c r="T814" s="6"/>
      <c r="U814" s="6"/>
      <c r="V814" s="6"/>
      <c r="W814" s="6"/>
      <c r="X814" s="6"/>
      <c r="Y814" s="6"/>
    </row>
    <row r="815" ht="31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25"/>
      <c r="Q815" s="6"/>
      <c r="R815" s="6"/>
      <c r="S815" s="6"/>
      <c r="T815" s="6"/>
      <c r="U815" s="6"/>
      <c r="V815" s="6"/>
      <c r="W815" s="6"/>
      <c r="X815" s="6"/>
      <c r="Y815" s="6"/>
    </row>
    <row r="816" ht="31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25"/>
      <c r="Q816" s="6"/>
      <c r="R816" s="6"/>
      <c r="S816" s="6"/>
      <c r="T816" s="6"/>
      <c r="U816" s="6"/>
      <c r="V816" s="6"/>
      <c r="W816" s="6"/>
      <c r="X816" s="6"/>
      <c r="Y816" s="6"/>
    </row>
    <row r="817" ht="31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25"/>
      <c r="Q817" s="6"/>
      <c r="R817" s="6"/>
      <c r="S817" s="6"/>
      <c r="T817" s="6"/>
      <c r="U817" s="6"/>
      <c r="V817" s="6"/>
      <c r="W817" s="6"/>
      <c r="X817" s="6"/>
      <c r="Y817" s="6"/>
    </row>
    <row r="818" ht="31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25"/>
      <c r="Q818" s="6"/>
      <c r="R818" s="6"/>
      <c r="S818" s="6"/>
      <c r="T818" s="6"/>
      <c r="U818" s="6"/>
      <c r="V818" s="6"/>
      <c r="W818" s="6"/>
      <c r="X818" s="6"/>
      <c r="Y818" s="6"/>
    </row>
    <row r="819" ht="31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25"/>
      <c r="Q819" s="6"/>
      <c r="R819" s="6"/>
      <c r="S819" s="6"/>
      <c r="T819" s="6"/>
      <c r="U819" s="6"/>
      <c r="V819" s="6"/>
      <c r="W819" s="6"/>
      <c r="X819" s="6"/>
      <c r="Y819" s="6"/>
    </row>
    <row r="820" ht="31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25"/>
      <c r="Q820" s="6"/>
      <c r="R820" s="6"/>
      <c r="S820" s="6"/>
      <c r="T820" s="6"/>
      <c r="U820" s="6"/>
      <c r="V820" s="6"/>
      <c r="W820" s="6"/>
      <c r="X820" s="6"/>
      <c r="Y820" s="6"/>
    </row>
    <row r="821" ht="31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25"/>
      <c r="Q821" s="6"/>
      <c r="R821" s="6"/>
      <c r="S821" s="6"/>
      <c r="T821" s="6"/>
      <c r="U821" s="6"/>
      <c r="V821" s="6"/>
      <c r="W821" s="6"/>
      <c r="X821" s="6"/>
      <c r="Y821" s="6"/>
    </row>
    <row r="822" ht="31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25"/>
      <c r="Q822" s="6"/>
      <c r="R822" s="6"/>
      <c r="S822" s="6"/>
      <c r="T822" s="6"/>
      <c r="U822" s="6"/>
      <c r="V822" s="6"/>
      <c r="W822" s="6"/>
      <c r="X822" s="6"/>
      <c r="Y822" s="6"/>
    </row>
    <row r="823" ht="31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25"/>
      <c r="Q823" s="6"/>
      <c r="R823" s="6"/>
      <c r="S823" s="6"/>
      <c r="T823" s="6"/>
      <c r="U823" s="6"/>
      <c r="V823" s="6"/>
      <c r="W823" s="6"/>
      <c r="X823" s="6"/>
      <c r="Y823" s="6"/>
    </row>
    <row r="824" ht="31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25"/>
      <c r="Q824" s="6"/>
      <c r="R824" s="6"/>
      <c r="S824" s="6"/>
      <c r="T824" s="6"/>
      <c r="U824" s="6"/>
      <c r="V824" s="6"/>
      <c r="W824" s="6"/>
      <c r="X824" s="6"/>
      <c r="Y824" s="6"/>
    </row>
    <row r="825" ht="31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25"/>
      <c r="Q825" s="6"/>
      <c r="R825" s="6"/>
      <c r="S825" s="6"/>
      <c r="T825" s="6"/>
      <c r="U825" s="6"/>
      <c r="V825" s="6"/>
      <c r="W825" s="6"/>
      <c r="X825" s="6"/>
      <c r="Y825" s="6"/>
    </row>
    <row r="826" ht="31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25"/>
      <c r="Q826" s="6"/>
      <c r="R826" s="6"/>
      <c r="S826" s="6"/>
      <c r="T826" s="6"/>
      <c r="U826" s="6"/>
      <c r="V826" s="6"/>
      <c r="W826" s="6"/>
      <c r="X826" s="6"/>
      <c r="Y826" s="6"/>
    </row>
    <row r="827" ht="31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25"/>
      <c r="Q827" s="6"/>
      <c r="R827" s="6"/>
      <c r="S827" s="6"/>
      <c r="T827" s="6"/>
      <c r="U827" s="6"/>
      <c r="V827" s="6"/>
      <c r="W827" s="6"/>
      <c r="X827" s="6"/>
      <c r="Y827" s="6"/>
    </row>
    <row r="828" ht="31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25"/>
      <c r="Q828" s="6"/>
      <c r="R828" s="6"/>
      <c r="S828" s="6"/>
      <c r="T828" s="6"/>
      <c r="U828" s="6"/>
      <c r="V828" s="6"/>
      <c r="W828" s="6"/>
      <c r="X828" s="6"/>
      <c r="Y828" s="6"/>
    </row>
    <row r="829" ht="31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25"/>
      <c r="Q829" s="6"/>
      <c r="R829" s="6"/>
      <c r="S829" s="6"/>
      <c r="T829" s="6"/>
      <c r="U829" s="6"/>
      <c r="V829" s="6"/>
      <c r="W829" s="6"/>
      <c r="X829" s="6"/>
      <c r="Y829" s="6"/>
    </row>
    <row r="830" ht="31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25"/>
      <c r="Q830" s="6"/>
      <c r="R830" s="6"/>
      <c r="S830" s="6"/>
      <c r="T830" s="6"/>
      <c r="U830" s="6"/>
      <c r="V830" s="6"/>
      <c r="W830" s="6"/>
      <c r="X830" s="6"/>
      <c r="Y830" s="6"/>
    </row>
    <row r="831" ht="31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25"/>
      <c r="Q831" s="6"/>
      <c r="R831" s="6"/>
      <c r="S831" s="6"/>
      <c r="T831" s="6"/>
      <c r="U831" s="6"/>
      <c r="V831" s="6"/>
      <c r="W831" s="6"/>
      <c r="X831" s="6"/>
      <c r="Y831" s="6"/>
    </row>
    <row r="832" ht="31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25"/>
      <c r="Q832" s="6"/>
      <c r="R832" s="6"/>
      <c r="S832" s="6"/>
      <c r="T832" s="6"/>
      <c r="U832" s="6"/>
      <c r="V832" s="6"/>
      <c r="W832" s="6"/>
      <c r="X832" s="6"/>
      <c r="Y832" s="6"/>
    </row>
    <row r="833" ht="31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25"/>
      <c r="Q833" s="6"/>
      <c r="R833" s="6"/>
      <c r="S833" s="6"/>
      <c r="T833" s="6"/>
      <c r="U833" s="6"/>
      <c r="V833" s="6"/>
      <c r="W833" s="6"/>
      <c r="X833" s="6"/>
      <c r="Y833" s="6"/>
    </row>
    <row r="834" ht="31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25"/>
      <c r="Q834" s="6"/>
      <c r="R834" s="6"/>
      <c r="S834" s="6"/>
      <c r="T834" s="6"/>
      <c r="U834" s="6"/>
      <c r="V834" s="6"/>
      <c r="W834" s="6"/>
      <c r="X834" s="6"/>
      <c r="Y834" s="6"/>
    </row>
    <row r="835" ht="31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25"/>
      <c r="Q835" s="6"/>
      <c r="R835" s="6"/>
      <c r="S835" s="6"/>
      <c r="T835" s="6"/>
      <c r="U835" s="6"/>
      <c r="V835" s="6"/>
      <c r="W835" s="6"/>
      <c r="X835" s="6"/>
      <c r="Y835" s="6"/>
    </row>
    <row r="836" ht="31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25"/>
      <c r="Q836" s="6"/>
      <c r="R836" s="6"/>
      <c r="S836" s="6"/>
      <c r="T836" s="6"/>
      <c r="U836" s="6"/>
      <c r="V836" s="6"/>
      <c r="W836" s="6"/>
      <c r="X836" s="6"/>
      <c r="Y836" s="6"/>
    </row>
    <row r="837" ht="31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25"/>
      <c r="Q837" s="6"/>
      <c r="R837" s="6"/>
      <c r="S837" s="6"/>
      <c r="T837" s="6"/>
      <c r="U837" s="6"/>
      <c r="V837" s="6"/>
      <c r="W837" s="6"/>
      <c r="X837" s="6"/>
      <c r="Y837" s="6"/>
    </row>
    <row r="838" ht="31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25"/>
      <c r="Q838" s="6"/>
      <c r="R838" s="6"/>
      <c r="S838" s="6"/>
      <c r="T838" s="6"/>
      <c r="U838" s="6"/>
      <c r="V838" s="6"/>
      <c r="W838" s="6"/>
      <c r="X838" s="6"/>
      <c r="Y838" s="6"/>
    </row>
    <row r="839" ht="31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25"/>
      <c r="Q839" s="6"/>
      <c r="R839" s="6"/>
      <c r="S839" s="6"/>
      <c r="T839" s="6"/>
      <c r="U839" s="6"/>
      <c r="V839" s="6"/>
      <c r="W839" s="6"/>
      <c r="X839" s="6"/>
      <c r="Y839" s="6"/>
    </row>
    <row r="840" ht="31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25"/>
      <c r="Q840" s="6"/>
      <c r="R840" s="6"/>
      <c r="S840" s="6"/>
      <c r="T840" s="6"/>
      <c r="U840" s="6"/>
      <c r="V840" s="6"/>
      <c r="W840" s="6"/>
      <c r="X840" s="6"/>
      <c r="Y840" s="6"/>
    </row>
    <row r="841" ht="31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25"/>
      <c r="Q841" s="6"/>
      <c r="R841" s="6"/>
      <c r="S841" s="6"/>
      <c r="T841" s="6"/>
      <c r="U841" s="6"/>
      <c r="V841" s="6"/>
      <c r="W841" s="6"/>
      <c r="X841" s="6"/>
      <c r="Y841" s="6"/>
    </row>
    <row r="842" ht="31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25"/>
      <c r="Q842" s="6"/>
      <c r="R842" s="6"/>
      <c r="S842" s="6"/>
      <c r="T842" s="6"/>
      <c r="U842" s="6"/>
      <c r="V842" s="6"/>
      <c r="W842" s="6"/>
      <c r="X842" s="6"/>
      <c r="Y842" s="6"/>
    </row>
    <row r="843" ht="31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25"/>
      <c r="Q843" s="6"/>
      <c r="R843" s="6"/>
      <c r="S843" s="6"/>
      <c r="T843" s="6"/>
      <c r="U843" s="6"/>
      <c r="V843" s="6"/>
      <c r="W843" s="6"/>
      <c r="X843" s="6"/>
      <c r="Y843" s="6"/>
    </row>
    <row r="844" ht="31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25"/>
      <c r="Q844" s="6"/>
      <c r="R844" s="6"/>
      <c r="S844" s="6"/>
      <c r="T844" s="6"/>
      <c r="U844" s="6"/>
      <c r="V844" s="6"/>
      <c r="W844" s="6"/>
      <c r="X844" s="6"/>
      <c r="Y844" s="6"/>
    </row>
    <row r="845" ht="31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25"/>
      <c r="Q845" s="6"/>
      <c r="R845" s="6"/>
      <c r="S845" s="6"/>
      <c r="T845" s="6"/>
      <c r="U845" s="6"/>
      <c r="V845" s="6"/>
      <c r="W845" s="6"/>
      <c r="X845" s="6"/>
      <c r="Y845" s="6"/>
    </row>
    <row r="846" ht="31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25"/>
      <c r="Q846" s="6"/>
      <c r="R846" s="6"/>
      <c r="S846" s="6"/>
      <c r="T846" s="6"/>
      <c r="U846" s="6"/>
      <c r="V846" s="6"/>
      <c r="W846" s="6"/>
      <c r="X846" s="6"/>
      <c r="Y846" s="6"/>
    </row>
    <row r="847" ht="31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25"/>
      <c r="Q847" s="6"/>
      <c r="R847" s="6"/>
      <c r="S847" s="6"/>
      <c r="T847" s="6"/>
      <c r="U847" s="6"/>
      <c r="V847" s="6"/>
      <c r="W847" s="6"/>
      <c r="X847" s="6"/>
      <c r="Y847" s="6"/>
    </row>
    <row r="848" ht="31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25"/>
      <c r="Q848" s="6"/>
      <c r="R848" s="6"/>
      <c r="S848" s="6"/>
      <c r="T848" s="6"/>
      <c r="U848" s="6"/>
      <c r="V848" s="6"/>
      <c r="W848" s="6"/>
      <c r="X848" s="6"/>
      <c r="Y848" s="6"/>
    </row>
    <row r="849" ht="31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25"/>
      <c r="Q849" s="6"/>
      <c r="R849" s="6"/>
      <c r="S849" s="6"/>
      <c r="T849" s="6"/>
      <c r="U849" s="6"/>
      <c r="V849" s="6"/>
      <c r="W849" s="6"/>
      <c r="X849" s="6"/>
      <c r="Y849" s="6"/>
    </row>
    <row r="850" ht="31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25"/>
      <c r="Q850" s="6"/>
      <c r="R850" s="6"/>
      <c r="S850" s="6"/>
      <c r="T850" s="6"/>
      <c r="U850" s="6"/>
      <c r="V850" s="6"/>
      <c r="W850" s="6"/>
      <c r="X850" s="6"/>
      <c r="Y850" s="6"/>
    </row>
    <row r="851" ht="31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25"/>
      <c r="Q851" s="6"/>
      <c r="R851" s="6"/>
      <c r="S851" s="6"/>
      <c r="T851" s="6"/>
      <c r="U851" s="6"/>
      <c r="V851" s="6"/>
      <c r="W851" s="6"/>
      <c r="X851" s="6"/>
      <c r="Y851" s="6"/>
    </row>
    <row r="852" ht="31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25"/>
      <c r="Q852" s="6"/>
      <c r="R852" s="6"/>
      <c r="S852" s="6"/>
      <c r="T852" s="6"/>
      <c r="U852" s="6"/>
      <c r="V852" s="6"/>
      <c r="W852" s="6"/>
      <c r="X852" s="6"/>
      <c r="Y852" s="6"/>
    </row>
    <row r="853" ht="31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25"/>
      <c r="Q853" s="6"/>
      <c r="R853" s="6"/>
      <c r="S853" s="6"/>
      <c r="T853" s="6"/>
      <c r="U853" s="6"/>
      <c r="V853" s="6"/>
      <c r="W853" s="6"/>
      <c r="X853" s="6"/>
      <c r="Y853" s="6"/>
    </row>
    <row r="854" ht="31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25"/>
      <c r="Q854" s="6"/>
      <c r="R854" s="6"/>
      <c r="S854" s="6"/>
      <c r="T854" s="6"/>
      <c r="U854" s="6"/>
      <c r="V854" s="6"/>
      <c r="W854" s="6"/>
      <c r="X854" s="6"/>
      <c r="Y854" s="6"/>
    </row>
    <row r="855" ht="31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25"/>
      <c r="Q855" s="6"/>
      <c r="R855" s="6"/>
      <c r="S855" s="6"/>
      <c r="T855" s="6"/>
      <c r="U855" s="6"/>
      <c r="V855" s="6"/>
      <c r="W855" s="6"/>
      <c r="X855" s="6"/>
      <c r="Y855" s="6"/>
    </row>
    <row r="856" ht="31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25"/>
      <c r="Q856" s="6"/>
      <c r="R856" s="6"/>
      <c r="S856" s="6"/>
      <c r="T856" s="6"/>
      <c r="U856" s="6"/>
      <c r="V856" s="6"/>
      <c r="W856" s="6"/>
      <c r="X856" s="6"/>
      <c r="Y856" s="6"/>
    </row>
    <row r="857" ht="31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25"/>
      <c r="Q857" s="6"/>
      <c r="R857" s="6"/>
      <c r="S857" s="6"/>
      <c r="T857" s="6"/>
      <c r="U857" s="6"/>
      <c r="V857" s="6"/>
      <c r="W857" s="6"/>
      <c r="X857" s="6"/>
      <c r="Y857" s="6"/>
    </row>
    <row r="858" ht="31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25"/>
      <c r="Q858" s="6"/>
      <c r="R858" s="6"/>
      <c r="S858" s="6"/>
      <c r="T858" s="6"/>
      <c r="U858" s="6"/>
      <c r="V858" s="6"/>
      <c r="W858" s="6"/>
      <c r="X858" s="6"/>
      <c r="Y858" s="6"/>
    </row>
    <row r="859" ht="31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25"/>
      <c r="Q859" s="6"/>
      <c r="R859" s="6"/>
      <c r="S859" s="6"/>
      <c r="T859" s="6"/>
      <c r="U859" s="6"/>
      <c r="V859" s="6"/>
      <c r="W859" s="6"/>
      <c r="X859" s="6"/>
      <c r="Y859" s="6"/>
    </row>
    <row r="860" ht="31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25"/>
      <c r="Q860" s="6"/>
      <c r="R860" s="6"/>
      <c r="S860" s="6"/>
      <c r="T860" s="6"/>
      <c r="U860" s="6"/>
      <c r="V860" s="6"/>
      <c r="W860" s="6"/>
      <c r="X860" s="6"/>
      <c r="Y860" s="6"/>
    </row>
    <row r="861" ht="31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25"/>
      <c r="Q861" s="6"/>
      <c r="R861" s="6"/>
      <c r="S861" s="6"/>
      <c r="T861" s="6"/>
      <c r="U861" s="6"/>
      <c r="V861" s="6"/>
      <c r="W861" s="6"/>
      <c r="X861" s="6"/>
      <c r="Y861" s="6"/>
    </row>
    <row r="862" ht="31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25"/>
      <c r="Q862" s="6"/>
      <c r="R862" s="6"/>
      <c r="S862" s="6"/>
      <c r="T862" s="6"/>
      <c r="U862" s="6"/>
      <c r="V862" s="6"/>
      <c r="W862" s="6"/>
      <c r="X862" s="6"/>
      <c r="Y862" s="6"/>
    </row>
    <row r="863" ht="31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25"/>
      <c r="Q863" s="6"/>
      <c r="R863" s="6"/>
      <c r="S863" s="6"/>
      <c r="T863" s="6"/>
      <c r="U863" s="6"/>
      <c r="V863" s="6"/>
      <c r="W863" s="6"/>
      <c r="X863" s="6"/>
      <c r="Y863" s="6"/>
    </row>
    <row r="864" ht="31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25"/>
      <c r="Q864" s="6"/>
      <c r="R864" s="6"/>
      <c r="S864" s="6"/>
      <c r="T864" s="6"/>
      <c r="U864" s="6"/>
      <c r="V864" s="6"/>
      <c r="W864" s="6"/>
      <c r="X864" s="6"/>
      <c r="Y864" s="6"/>
    </row>
    <row r="865" ht="31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25"/>
      <c r="Q865" s="6"/>
      <c r="R865" s="6"/>
      <c r="S865" s="6"/>
      <c r="T865" s="6"/>
      <c r="U865" s="6"/>
      <c r="V865" s="6"/>
      <c r="W865" s="6"/>
      <c r="X865" s="6"/>
      <c r="Y865" s="6"/>
    </row>
    <row r="866" ht="31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25"/>
      <c r="Q866" s="6"/>
      <c r="R866" s="6"/>
      <c r="S866" s="6"/>
      <c r="T866" s="6"/>
      <c r="U866" s="6"/>
      <c r="V866" s="6"/>
      <c r="W866" s="6"/>
      <c r="X866" s="6"/>
      <c r="Y866" s="6"/>
    </row>
    <row r="867" ht="31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25"/>
      <c r="Q867" s="6"/>
      <c r="R867" s="6"/>
      <c r="S867" s="6"/>
      <c r="T867" s="6"/>
      <c r="U867" s="6"/>
      <c r="V867" s="6"/>
      <c r="W867" s="6"/>
      <c r="X867" s="6"/>
      <c r="Y867" s="6"/>
    </row>
    <row r="868" ht="31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25"/>
      <c r="Q868" s="6"/>
      <c r="R868" s="6"/>
      <c r="S868" s="6"/>
      <c r="T868" s="6"/>
      <c r="U868" s="6"/>
      <c r="V868" s="6"/>
      <c r="W868" s="6"/>
      <c r="X868" s="6"/>
      <c r="Y868" s="6"/>
    </row>
    <row r="869" ht="31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25"/>
      <c r="Q869" s="6"/>
      <c r="R869" s="6"/>
      <c r="S869" s="6"/>
      <c r="T869" s="6"/>
      <c r="U869" s="6"/>
      <c r="V869" s="6"/>
      <c r="W869" s="6"/>
      <c r="X869" s="6"/>
      <c r="Y869" s="6"/>
    </row>
    <row r="870" ht="31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25"/>
      <c r="Q870" s="6"/>
      <c r="R870" s="6"/>
      <c r="S870" s="6"/>
      <c r="T870" s="6"/>
      <c r="U870" s="6"/>
      <c r="V870" s="6"/>
      <c r="W870" s="6"/>
      <c r="X870" s="6"/>
      <c r="Y870" s="6"/>
    </row>
    <row r="871" ht="31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25"/>
      <c r="Q871" s="6"/>
      <c r="R871" s="6"/>
      <c r="S871" s="6"/>
      <c r="T871" s="6"/>
      <c r="U871" s="6"/>
      <c r="V871" s="6"/>
      <c r="W871" s="6"/>
      <c r="X871" s="6"/>
      <c r="Y871" s="6"/>
    </row>
    <row r="872" ht="31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25"/>
      <c r="Q872" s="6"/>
      <c r="R872" s="6"/>
      <c r="S872" s="6"/>
      <c r="T872" s="6"/>
      <c r="U872" s="6"/>
      <c r="V872" s="6"/>
      <c r="W872" s="6"/>
      <c r="X872" s="6"/>
      <c r="Y872" s="6"/>
    </row>
    <row r="873" ht="31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25"/>
      <c r="Q873" s="6"/>
      <c r="R873" s="6"/>
      <c r="S873" s="6"/>
      <c r="T873" s="6"/>
      <c r="U873" s="6"/>
      <c r="V873" s="6"/>
      <c r="W873" s="6"/>
      <c r="X873" s="6"/>
      <c r="Y873" s="6"/>
    </row>
    <row r="874" ht="31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25"/>
      <c r="Q874" s="6"/>
      <c r="R874" s="6"/>
      <c r="S874" s="6"/>
      <c r="T874" s="6"/>
      <c r="U874" s="6"/>
      <c r="V874" s="6"/>
      <c r="W874" s="6"/>
      <c r="X874" s="6"/>
      <c r="Y874" s="6"/>
    </row>
    <row r="875" ht="31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25"/>
      <c r="Q875" s="6"/>
      <c r="R875" s="6"/>
      <c r="S875" s="6"/>
      <c r="T875" s="6"/>
      <c r="U875" s="6"/>
      <c r="V875" s="6"/>
      <c r="W875" s="6"/>
      <c r="X875" s="6"/>
      <c r="Y875" s="6"/>
    </row>
    <row r="876" ht="31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25"/>
      <c r="Q876" s="6"/>
      <c r="R876" s="6"/>
      <c r="S876" s="6"/>
      <c r="T876" s="6"/>
      <c r="U876" s="6"/>
      <c r="V876" s="6"/>
      <c r="W876" s="6"/>
      <c r="X876" s="6"/>
      <c r="Y876" s="6"/>
    </row>
    <row r="877" ht="31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25"/>
      <c r="Q877" s="6"/>
      <c r="R877" s="6"/>
      <c r="S877" s="6"/>
      <c r="T877" s="6"/>
      <c r="U877" s="6"/>
      <c r="V877" s="6"/>
      <c r="W877" s="6"/>
      <c r="X877" s="6"/>
      <c r="Y877" s="6"/>
    </row>
    <row r="878" ht="31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25"/>
      <c r="Q878" s="6"/>
      <c r="R878" s="6"/>
      <c r="S878" s="6"/>
      <c r="T878" s="6"/>
      <c r="U878" s="6"/>
      <c r="V878" s="6"/>
      <c r="W878" s="6"/>
      <c r="X878" s="6"/>
      <c r="Y878" s="6"/>
    </row>
    <row r="879" ht="31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25"/>
      <c r="Q879" s="6"/>
      <c r="R879" s="6"/>
      <c r="S879" s="6"/>
      <c r="T879" s="6"/>
      <c r="U879" s="6"/>
      <c r="V879" s="6"/>
      <c r="W879" s="6"/>
      <c r="X879" s="6"/>
      <c r="Y879" s="6"/>
    </row>
    <row r="880" ht="31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25"/>
      <c r="Q880" s="6"/>
      <c r="R880" s="6"/>
      <c r="S880" s="6"/>
      <c r="T880" s="6"/>
      <c r="U880" s="6"/>
      <c r="V880" s="6"/>
      <c r="W880" s="6"/>
      <c r="X880" s="6"/>
      <c r="Y880" s="6"/>
    </row>
    <row r="881" ht="31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25"/>
      <c r="Q881" s="6"/>
      <c r="R881" s="6"/>
      <c r="S881" s="6"/>
      <c r="T881" s="6"/>
      <c r="U881" s="6"/>
      <c r="V881" s="6"/>
      <c r="W881" s="6"/>
      <c r="X881" s="6"/>
      <c r="Y881" s="6"/>
    </row>
    <row r="882" ht="31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25"/>
      <c r="Q882" s="6"/>
      <c r="R882" s="6"/>
      <c r="S882" s="6"/>
      <c r="T882" s="6"/>
      <c r="U882" s="6"/>
      <c r="V882" s="6"/>
      <c r="W882" s="6"/>
      <c r="X882" s="6"/>
      <c r="Y882" s="6"/>
    </row>
    <row r="883" ht="31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25"/>
      <c r="Q883" s="6"/>
      <c r="R883" s="6"/>
      <c r="S883" s="6"/>
      <c r="T883" s="6"/>
      <c r="U883" s="6"/>
      <c r="V883" s="6"/>
      <c r="W883" s="6"/>
      <c r="X883" s="6"/>
      <c r="Y883" s="6"/>
    </row>
    <row r="884" ht="31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25"/>
      <c r="Q884" s="6"/>
      <c r="R884" s="6"/>
      <c r="S884" s="6"/>
      <c r="T884" s="6"/>
      <c r="U884" s="6"/>
      <c r="V884" s="6"/>
      <c r="W884" s="6"/>
      <c r="X884" s="6"/>
      <c r="Y884" s="6"/>
    </row>
    <row r="885" ht="31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25"/>
      <c r="Q885" s="6"/>
      <c r="R885" s="6"/>
      <c r="S885" s="6"/>
      <c r="T885" s="6"/>
      <c r="U885" s="6"/>
      <c r="V885" s="6"/>
      <c r="W885" s="6"/>
      <c r="X885" s="6"/>
      <c r="Y885" s="6"/>
    </row>
    <row r="886" ht="31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25"/>
      <c r="Q886" s="6"/>
      <c r="R886" s="6"/>
      <c r="S886" s="6"/>
      <c r="T886" s="6"/>
      <c r="U886" s="6"/>
      <c r="V886" s="6"/>
      <c r="W886" s="6"/>
      <c r="X886" s="6"/>
      <c r="Y886" s="6"/>
    </row>
    <row r="887" ht="31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25"/>
      <c r="Q887" s="6"/>
      <c r="R887" s="6"/>
      <c r="S887" s="6"/>
      <c r="T887" s="6"/>
      <c r="U887" s="6"/>
      <c r="V887" s="6"/>
      <c r="W887" s="6"/>
      <c r="X887" s="6"/>
      <c r="Y887" s="6"/>
    </row>
    <row r="888" ht="31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25"/>
      <c r="Q888" s="6"/>
      <c r="R888" s="6"/>
      <c r="S888" s="6"/>
      <c r="T888" s="6"/>
      <c r="U888" s="6"/>
      <c r="V888" s="6"/>
      <c r="W888" s="6"/>
      <c r="X888" s="6"/>
      <c r="Y888" s="6"/>
    </row>
    <row r="889" ht="31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25"/>
      <c r="Q889" s="6"/>
      <c r="R889" s="6"/>
      <c r="S889" s="6"/>
      <c r="T889" s="6"/>
      <c r="U889" s="6"/>
      <c r="V889" s="6"/>
      <c r="W889" s="6"/>
      <c r="X889" s="6"/>
      <c r="Y889" s="6"/>
    </row>
    <row r="890" ht="31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25"/>
      <c r="Q890" s="6"/>
      <c r="R890" s="6"/>
      <c r="S890" s="6"/>
      <c r="T890" s="6"/>
      <c r="U890" s="6"/>
      <c r="V890" s="6"/>
      <c r="W890" s="6"/>
      <c r="X890" s="6"/>
      <c r="Y890" s="6"/>
    </row>
    <row r="891" ht="31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25"/>
      <c r="Q891" s="6"/>
      <c r="R891" s="6"/>
      <c r="S891" s="6"/>
      <c r="T891" s="6"/>
      <c r="U891" s="6"/>
      <c r="V891" s="6"/>
      <c r="W891" s="6"/>
      <c r="X891" s="6"/>
      <c r="Y891" s="6"/>
    </row>
    <row r="892" ht="31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25"/>
      <c r="Q892" s="6"/>
      <c r="R892" s="6"/>
      <c r="S892" s="6"/>
      <c r="T892" s="6"/>
      <c r="U892" s="6"/>
      <c r="V892" s="6"/>
      <c r="W892" s="6"/>
      <c r="X892" s="6"/>
      <c r="Y892" s="6"/>
    </row>
    <row r="893" ht="31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25"/>
      <c r="Q893" s="6"/>
      <c r="R893" s="6"/>
      <c r="S893" s="6"/>
      <c r="T893" s="6"/>
      <c r="U893" s="6"/>
      <c r="V893" s="6"/>
      <c r="W893" s="6"/>
      <c r="X893" s="6"/>
      <c r="Y893" s="6"/>
    </row>
    <row r="894" ht="31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25"/>
      <c r="Q894" s="6"/>
      <c r="R894" s="6"/>
      <c r="S894" s="6"/>
      <c r="T894" s="6"/>
      <c r="U894" s="6"/>
      <c r="V894" s="6"/>
      <c r="W894" s="6"/>
      <c r="X894" s="6"/>
      <c r="Y894" s="6"/>
    </row>
    <row r="895" ht="31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25"/>
      <c r="Q895" s="6"/>
      <c r="R895" s="6"/>
      <c r="S895" s="6"/>
      <c r="T895" s="6"/>
      <c r="U895" s="6"/>
      <c r="V895" s="6"/>
      <c r="W895" s="6"/>
      <c r="X895" s="6"/>
      <c r="Y895" s="6"/>
    </row>
    <row r="896" ht="31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25"/>
      <c r="Q896" s="6"/>
      <c r="R896" s="6"/>
      <c r="S896" s="6"/>
      <c r="T896" s="6"/>
      <c r="U896" s="6"/>
      <c r="V896" s="6"/>
      <c r="W896" s="6"/>
      <c r="X896" s="6"/>
      <c r="Y896" s="6"/>
    </row>
    <row r="897" ht="31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25"/>
      <c r="Q897" s="6"/>
      <c r="R897" s="6"/>
      <c r="S897" s="6"/>
      <c r="T897" s="6"/>
      <c r="U897" s="6"/>
      <c r="V897" s="6"/>
      <c r="W897" s="6"/>
      <c r="X897" s="6"/>
      <c r="Y897" s="6"/>
    </row>
    <row r="898" ht="31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25"/>
      <c r="Q898" s="6"/>
      <c r="R898" s="6"/>
      <c r="S898" s="6"/>
      <c r="T898" s="6"/>
      <c r="U898" s="6"/>
      <c r="V898" s="6"/>
      <c r="W898" s="6"/>
      <c r="X898" s="6"/>
      <c r="Y898" s="6"/>
    </row>
    <row r="899" ht="31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25"/>
      <c r="Q899" s="6"/>
      <c r="R899" s="6"/>
      <c r="S899" s="6"/>
      <c r="T899" s="6"/>
      <c r="U899" s="6"/>
      <c r="V899" s="6"/>
      <c r="W899" s="6"/>
      <c r="X899" s="6"/>
      <c r="Y899" s="6"/>
    </row>
    <row r="900" ht="31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25"/>
      <c r="Q900" s="6"/>
      <c r="R900" s="6"/>
      <c r="S900" s="6"/>
      <c r="T900" s="6"/>
      <c r="U900" s="6"/>
      <c r="V900" s="6"/>
      <c r="W900" s="6"/>
      <c r="X900" s="6"/>
      <c r="Y900" s="6"/>
    </row>
    <row r="901" ht="31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25"/>
      <c r="Q901" s="6"/>
      <c r="R901" s="6"/>
      <c r="S901" s="6"/>
      <c r="T901" s="6"/>
      <c r="U901" s="6"/>
      <c r="V901" s="6"/>
      <c r="W901" s="6"/>
      <c r="X901" s="6"/>
      <c r="Y901" s="6"/>
    </row>
    <row r="902" ht="31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25"/>
      <c r="Q902" s="6"/>
      <c r="R902" s="6"/>
      <c r="S902" s="6"/>
      <c r="T902" s="6"/>
      <c r="U902" s="6"/>
      <c r="V902" s="6"/>
      <c r="W902" s="6"/>
      <c r="X902" s="6"/>
      <c r="Y902" s="6"/>
    </row>
    <row r="903" ht="31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25"/>
      <c r="Q903" s="6"/>
      <c r="R903" s="6"/>
      <c r="S903" s="6"/>
      <c r="T903" s="6"/>
      <c r="U903" s="6"/>
      <c r="V903" s="6"/>
      <c r="W903" s="6"/>
      <c r="X903" s="6"/>
      <c r="Y903" s="6"/>
    </row>
    <row r="904" ht="31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25"/>
      <c r="Q904" s="6"/>
      <c r="R904" s="6"/>
      <c r="S904" s="6"/>
      <c r="T904" s="6"/>
      <c r="U904" s="6"/>
      <c r="V904" s="6"/>
      <c r="W904" s="6"/>
      <c r="X904" s="6"/>
      <c r="Y904" s="6"/>
    </row>
    <row r="905" ht="31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25"/>
      <c r="Q905" s="6"/>
      <c r="R905" s="6"/>
      <c r="S905" s="6"/>
      <c r="T905" s="6"/>
      <c r="U905" s="6"/>
      <c r="V905" s="6"/>
      <c r="W905" s="6"/>
      <c r="X905" s="6"/>
      <c r="Y905" s="6"/>
    </row>
    <row r="906" ht="31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25"/>
      <c r="Q906" s="6"/>
      <c r="R906" s="6"/>
      <c r="S906" s="6"/>
      <c r="T906" s="6"/>
      <c r="U906" s="6"/>
      <c r="V906" s="6"/>
      <c r="W906" s="6"/>
      <c r="X906" s="6"/>
      <c r="Y906" s="6"/>
    </row>
    <row r="907" ht="31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25"/>
      <c r="Q907" s="6"/>
      <c r="R907" s="6"/>
      <c r="S907" s="6"/>
      <c r="T907" s="6"/>
      <c r="U907" s="6"/>
      <c r="V907" s="6"/>
      <c r="W907" s="6"/>
      <c r="X907" s="6"/>
      <c r="Y907" s="6"/>
    </row>
    <row r="908" ht="31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25"/>
      <c r="Q908" s="6"/>
      <c r="R908" s="6"/>
      <c r="S908" s="6"/>
      <c r="T908" s="6"/>
      <c r="U908" s="6"/>
      <c r="V908" s="6"/>
      <c r="W908" s="6"/>
      <c r="X908" s="6"/>
      <c r="Y908" s="6"/>
    </row>
    <row r="909" ht="31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25"/>
      <c r="Q909" s="6"/>
      <c r="R909" s="6"/>
      <c r="S909" s="6"/>
      <c r="T909" s="6"/>
      <c r="U909" s="6"/>
      <c r="V909" s="6"/>
      <c r="W909" s="6"/>
      <c r="X909" s="6"/>
      <c r="Y909" s="6"/>
    </row>
    <row r="910" ht="31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25"/>
      <c r="Q910" s="6"/>
      <c r="R910" s="6"/>
      <c r="S910" s="6"/>
      <c r="T910" s="6"/>
      <c r="U910" s="6"/>
      <c r="V910" s="6"/>
      <c r="W910" s="6"/>
      <c r="X910" s="6"/>
      <c r="Y910" s="6"/>
    </row>
    <row r="911" ht="31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25"/>
      <c r="Q911" s="6"/>
      <c r="R911" s="6"/>
      <c r="S911" s="6"/>
      <c r="T911" s="6"/>
      <c r="U911" s="6"/>
      <c r="V911" s="6"/>
      <c r="W911" s="6"/>
      <c r="X911" s="6"/>
      <c r="Y911" s="6"/>
    </row>
    <row r="912" ht="31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25"/>
      <c r="Q912" s="6"/>
      <c r="R912" s="6"/>
      <c r="S912" s="6"/>
      <c r="T912" s="6"/>
      <c r="U912" s="6"/>
      <c r="V912" s="6"/>
      <c r="W912" s="6"/>
      <c r="X912" s="6"/>
      <c r="Y912" s="6"/>
    </row>
    <row r="913" ht="31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25"/>
      <c r="Q913" s="6"/>
      <c r="R913" s="6"/>
      <c r="S913" s="6"/>
      <c r="T913" s="6"/>
      <c r="U913" s="6"/>
      <c r="V913" s="6"/>
      <c r="W913" s="6"/>
      <c r="X913" s="6"/>
      <c r="Y913" s="6"/>
    </row>
    <row r="914" ht="31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25"/>
      <c r="Q914" s="6"/>
      <c r="R914" s="6"/>
      <c r="S914" s="6"/>
      <c r="T914" s="6"/>
      <c r="U914" s="6"/>
      <c r="V914" s="6"/>
      <c r="W914" s="6"/>
      <c r="X914" s="6"/>
      <c r="Y914" s="6"/>
    </row>
    <row r="915" ht="31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25"/>
      <c r="Q915" s="6"/>
      <c r="R915" s="6"/>
      <c r="S915" s="6"/>
      <c r="T915" s="6"/>
      <c r="U915" s="6"/>
      <c r="V915" s="6"/>
      <c r="W915" s="6"/>
      <c r="X915" s="6"/>
      <c r="Y915" s="6"/>
    </row>
    <row r="916" ht="31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25"/>
      <c r="Q916" s="6"/>
      <c r="R916" s="6"/>
      <c r="S916" s="6"/>
      <c r="T916" s="6"/>
      <c r="U916" s="6"/>
      <c r="V916" s="6"/>
      <c r="W916" s="6"/>
      <c r="X916" s="6"/>
      <c r="Y916" s="6"/>
    </row>
    <row r="917" ht="31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25"/>
      <c r="Q917" s="6"/>
      <c r="R917" s="6"/>
      <c r="S917" s="6"/>
      <c r="T917" s="6"/>
      <c r="U917" s="6"/>
      <c r="V917" s="6"/>
      <c r="W917" s="6"/>
      <c r="X917" s="6"/>
      <c r="Y917" s="6"/>
    </row>
    <row r="918" ht="31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25"/>
      <c r="Q918" s="6"/>
      <c r="R918" s="6"/>
      <c r="S918" s="6"/>
      <c r="T918" s="6"/>
      <c r="U918" s="6"/>
      <c r="V918" s="6"/>
      <c r="W918" s="6"/>
      <c r="X918" s="6"/>
      <c r="Y918" s="6"/>
    </row>
    <row r="919" ht="31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25"/>
      <c r="Q919" s="6"/>
      <c r="R919" s="6"/>
      <c r="S919" s="6"/>
      <c r="T919" s="6"/>
      <c r="U919" s="6"/>
      <c r="V919" s="6"/>
      <c r="W919" s="6"/>
      <c r="X919" s="6"/>
      <c r="Y919" s="6"/>
    </row>
    <row r="920" ht="31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25"/>
      <c r="Q920" s="6"/>
      <c r="R920" s="6"/>
      <c r="S920" s="6"/>
      <c r="T920" s="6"/>
      <c r="U920" s="6"/>
      <c r="V920" s="6"/>
      <c r="W920" s="6"/>
      <c r="X920" s="6"/>
      <c r="Y920" s="6"/>
    </row>
    <row r="921" ht="31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25"/>
      <c r="Q921" s="6"/>
      <c r="R921" s="6"/>
      <c r="S921" s="6"/>
      <c r="T921" s="6"/>
      <c r="U921" s="6"/>
      <c r="V921" s="6"/>
      <c r="W921" s="6"/>
      <c r="X921" s="6"/>
      <c r="Y921" s="6"/>
    </row>
    <row r="922" ht="31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25"/>
      <c r="Q922" s="6"/>
      <c r="R922" s="6"/>
      <c r="S922" s="6"/>
      <c r="T922" s="6"/>
      <c r="U922" s="6"/>
      <c r="V922" s="6"/>
      <c r="W922" s="6"/>
      <c r="X922" s="6"/>
      <c r="Y922" s="6"/>
    </row>
    <row r="923" ht="31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25"/>
      <c r="Q923" s="6"/>
      <c r="R923" s="6"/>
      <c r="S923" s="6"/>
      <c r="T923" s="6"/>
      <c r="U923" s="6"/>
      <c r="V923" s="6"/>
      <c r="W923" s="6"/>
      <c r="X923" s="6"/>
      <c r="Y923" s="6"/>
    </row>
    <row r="924" ht="31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25"/>
      <c r="Q924" s="6"/>
      <c r="R924" s="6"/>
      <c r="S924" s="6"/>
      <c r="T924" s="6"/>
      <c r="U924" s="6"/>
      <c r="V924" s="6"/>
      <c r="W924" s="6"/>
      <c r="X924" s="6"/>
      <c r="Y924" s="6"/>
    </row>
    <row r="925" ht="31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25"/>
      <c r="Q925" s="6"/>
      <c r="R925" s="6"/>
      <c r="S925" s="6"/>
      <c r="T925" s="6"/>
      <c r="U925" s="6"/>
      <c r="V925" s="6"/>
      <c r="W925" s="6"/>
      <c r="X925" s="6"/>
      <c r="Y925" s="6"/>
    </row>
    <row r="926" ht="31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25"/>
      <c r="Q926" s="6"/>
      <c r="R926" s="6"/>
      <c r="S926" s="6"/>
      <c r="T926" s="6"/>
      <c r="U926" s="6"/>
      <c r="V926" s="6"/>
      <c r="W926" s="6"/>
      <c r="X926" s="6"/>
      <c r="Y926" s="6"/>
    </row>
    <row r="927" ht="31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25"/>
      <c r="Q927" s="6"/>
      <c r="R927" s="6"/>
      <c r="S927" s="6"/>
      <c r="T927" s="6"/>
      <c r="U927" s="6"/>
      <c r="V927" s="6"/>
      <c r="W927" s="6"/>
      <c r="X927" s="6"/>
      <c r="Y927" s="6"/>
    </row>
    <row r="928" ht="31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25"/>
      <c r="Q928" s="6"/>
      <c r="R928" s="6"/>
      <c r="S928" s="6"/>
      <c r="T928" s="6"/>
      <c r="U928" s="6"/>
      <c r="V928" s="6"/>
      <c r="W928" s="6"/>
      <c r="X928" s="6"/>
      <c r="Y928" s="6"/>
    </row>
    <row r="929" ht="31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25"/>
      <c r="Q929" s="6"/>
      <c r="R929" s="6"/>
      <c r="S929" s="6"/>
      <c r="T929" s="6"/>
      <c r="U929" s="6"/>
      <c r="V929" s="6"/>
      <c r="W929" s="6"/>
      <c r="X929" s="6"/>
      <c r="Y929" s="6"/>
    </row>
    <row r="930" ht="31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25"/>
      <c r="Q930" s="6"/>
      <c r="R930" s="6"/>
      <c r="S930" s="6"/>
      <c r="T930" s="6"/>
      <c r="U930" s="6"/>
      <c r="V930" s="6"/>
      <c r="W930" s="6"/>
      <c r="X930" s="6"/>
      <c r="Y930" s="6"/>
    </row>
    <row r="931" ht="31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25"/>
      <c r="Q931" s="6"/>
      <c r="R931" s="6"/>
      <c r="S931" s="6"/>
      <c r="T931" s="6"/>
      <c r="U931" s="6"/>
      <c r="V931" s="6"/>
      <c r="W931" s="6"/>
      <c r="X931" s="6"/>
      <c r="Y931" s="6"/>
    </row>
    <row r="932" ht="31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25"/>
      <c r="Q932" s="6"/>
      <c r="R932" s="6"/>
      <c r="S932" s="6"/>
      <c r="T932" s="6"/>
      <c r="U932" s="6"/>
      <c r="V932" s="6"/>
      <c r="W932" s="6"/>
      <c r="X932" s="6"/>
      <c r="Y932" s="6"/>
    </row>
    <row r="933" ht="31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25"/>
      <c r="Q933" s="6"/>
      <c r="R933" s="6"/>
      <c r="S933" s="6"/>
      <c r="T933" s="6"/>
      <c r="U933" s="6"/>
      <c r="V933" s="6"/>
      <c r="W933" s="6"/>
      <c r="X933" s="6"/>
      <c r="Y933" s="6"/>
    </row>
    <row r="934" ht="31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25"/>
      <c r="Q934" s="6"/>
      <c r="R934" s="6"/>
      <c r="S934" s="6"/>
      <c r="T934" s="6"/>
      <c r="U934" s="6"/>
      <c r="V934" s="6"/>
      <c r="W934" s="6"/>
      <c r="X934" s="6"/>
      <c r="Y934" s="6"/>
    </row>
    <row r="935" ht="31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25"/>
      <c r="Q935" s="6"/>
      <c r="R935" s="6"/>
      <c r="S935" s="6"/>
      <c r="T935" s="6"/>
      <c r="U935" s="6"/>
      <c r="V935" s="6"/>
      <c r="W935" s="6"/>
      <c r="X935" s="6"/>
      <c r="Y935" s="6"/>
    </row>
    <row r="936" ht="31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25"/>
      <c r="Q936" s="6"/>
      <c r="R936" s="6"/>
      <c r="S936" s="6"/>
      <c r="T936" s="6"/>
      <c r="U936" s="6"/>
      <c r="V936" s="6"/>
      <c r="W936" s="6"/>
      <c r="X936" s="6"/>
      <c r="Y936" s="6"/>
    </row>
    <row r="937" ht="31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25"/>
      <c r="Q937" s="6"/>
      <c r="R937" s="6"/>
      <c r="S937" s="6"/>
      <c r="T937" s="6"/>
      <c r="U937" s="6"/>
      <c r="V937" s="6"/>
      <c r="W937" s="6"/>
      <c r="X937" s="6"/>
      <c r="Y937" s="6"/>
    </row>
    <row r="938" ht="31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25"/>
      <c r="Q938" s="6"/>
      <c r="R938" s="6"/>
      <c r="S938" s="6"/>
      <c r="T938" s="6"/>
      <c r="U938" s="6"/>
      <c r="V938" s="6"/>
      <c r="W938" s="6"/>
      <c r="X938" s="6"/>
      <c r="Y938" s="6"/>
    </row>
    <row r="939" ht="31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25"/>
      <c r="Q939" s="6"/>
      <c r="R939" s="6"/>
      <c r="S939" s="6"/>
      <c r="T939" s="6"/>
      <c r="U939" s="6"/>
      <c r="V939" s="6"/>
      <c r="W939" s="6"/>
      <c r="X939" s="6"/>
      <c r="Y939" s="6"/>
    </row>
    <row r="940" ht="31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25"/>
      <c r="Q940" s="6"/>
      <c r="R940" s="6"/>
      <c r="S940" s="6"/>
      <c r="T940" s="6"/>
      <c r="U940" s="6"/>
      <c r="V940" s="6"/>
      <c r="W940" s="6"/>
      <c r="X940" s="6"/>
      <c r="Y940" s="6"/>
    </row>
    <row r="941" ht="31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25"/>
      <c r="Q941" s="6"/>
      <c r="R941" s="6"/>
      <c r="S941" s="6"/>
      <c r="T941" s="6"/>
      <c r="U941" s="6"/>
      <c r="V941" s="6"/>
      <c r="W941" s="6"/>
      <c r="X941" s="6"/>
      <c r="Y941" s="6"/>
    </row>
    <row r="942" ht="31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25"/>
      <c r="Q942" s="6"/>
      <c r="R942" s="6"/>
      <c r="S942" s="6"/>
      <c r="T942" s="6"/>
      <c r="U942" s="6"/>
      <c r="V942" s="6"/>
      <c r="W942" s="6"/>
      <c r="X942" s="6"/>
      <c r="Y942" s="6"/>
    </row>
    <row r="943" ht="31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25"/>
      <c r="Q943" s="6"/>
      <c r="R943" s="6"/>
      <c r="S943" s="6"/>
      <c r="T943" s="6"/>
      <c r="U943" s="6"/>
      <c r="V943" s="6"/>
      <c r="W943" s="6"/>
      <c r="X943" s="6"/>
      <c r="Y943" s="6"/>
    </row>
    <row r="944" ht="31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25"/>
      <c r="Q944" s="6"/>
      <c r="R944" s="6"/>
      <c r="S944" s="6"/>
      <c r="T944" s="6"/>
      <c r="U944" s="6"/>
      <c r="V944" s="6"/>
      <c r="W944" s="6"/>
      <c r="X944" s="6"/>
      <c r="Y944" s="6"/>
    </row>
    <row r="945" ht="31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25"/>
      <c r="Q945" s="6"/>
      <c r="R945" s="6"/>
      <c r="S945" s="6"/>
      <c r="T945" s="6"/>
      <c r="U945" s="6"/>
      <c r="V945" s="6"/>
      <c r="W945" s="6"/>
      <c r="X945" s="6"/>
      <c r="Y945" s="6"/>
    </row>
    <row r="946" ht="31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25"/>
      <c r="Q946" s="6"/>
      <c r="R946" s="6"/>
      <c r="S946" s="6"/>
      <c r="T946" s="6"/>
      <c r="U946" s="6"/>
      <c r="V946" s="6"/>
      <c r="W946" s="6"/>
      <c r="X946" s="6"/>
      <c r="Y946" s="6"/>
    </row>
    <row r="947" ht="31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25"/>
      <c r="Q947" s="6"/>
      <c r="R947" s="6"/>
      <c r="S947" s="6"/>
      <c r="T947" s="6"/>
      <c r="U947" s="6"/>
      <c r="V947" s="6"/>
      <c r="W947" s="6"/>
      <c r="X947" s="6"/>
      <c r="Y947" s="6"/>
    </row>
    <row r="948" ht="31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25"/>
      <c r="Q948" s="6"/>
      <c r="R948" s="6"/>
      <c r="S948" s="6"/>
      <c r="T948" s="6"/>
      <c r="U948" s="6"/>
      <c r="V948" s="6"/>
      <c r="W948" s="6"/>
      <c r="X948" s="6"/>
      <c r="Y948" s="6"/>
    </row>
    <row r="949" ht="31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25"/>
      <c r="Q949" s="6"/>
      <c r="R949" s="6"/>
      <c r="S949" s="6"/>
      <c r="T949" s="6"/>
      <c r="U949" s="6"/>
      <c r="V949" s="6"/>
      <c r="W949" s="6"/>
      <c r="X949" s="6"/>
      <c r="Y949" s="6"/>
    </row>
    <row r="950" ht="31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25"/>
      <c r="Q950" s="6"/>
      <c r="R950" s="6"/>
      <c r="S950" s="6"/>
      <c r="T950" s="6"/>
      <c r="U950" s="6"/>
      <c r="V950" s="6"/>
      <c r="W950" s="6"/>
      <c r="X950" s="6"/>
      <c r="Y950" s="6"/>
    </row>
    <row r="951" ht="31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25"/>
      <c r="Q951" s="6"/>
      <c r="R951" s="6"/>
      <c r="S951" s="6"/>
      <c r="T951" s="6"/>
      <c r="U951" s="6"/>
      <c r="V951" s="6"/>
      <c r="W951" s="6"/>
      <c r="X951" s="6"/>
      <c r="Y951" s="6"/>
    </row>
    <row r="952" ht="31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25"/>
      <c r="Q952" s="6"/>
      <c r="R952" s="6"/>
      <c r="S952" s="6"/>
      <c r="T952" s="6"/>
      <c r="U952" s="6"/>
      <c r="V952" s="6"/>
      <c r="W952" s="6"/>
      <c r="X952" s="6"/>
      <c r="Y952" s="6"/>
    </row>
    <row r="953" ht="31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25"/>
      <c r="Q953" s="6"/>
      <c r="R953" s="6"/>
      <c r="S953" s="6"/>
      <c r="T953" s="6"/>
      <c r="U953" s="6"/>
      <c r="V953" s="6"/>
      <c r="W953" s="6"/>
      <c r="X953" s="6"/>
      <c r="Y953" s="6"/>
    </row>
    <row r="954" ht="31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25"/>
      <c r="Q954" s="6"/>
      <c r="R954" s="6"/>
      <c r="S954" s="6"/>
      <c r="T954" s="6"/>
      <c r="U954" s="6"/>
      <c r="V954" s="6"/>
      <c r="W954" s="6"/>
      <c r="X954" s="6"/>
      <c r="Y954" s="6"/>
    </row>
    <row r="955" ht="31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25"/>
      <c r="Q955" s="6"/>
      <c r="R955" s="6"/>
      <c r="S955" s="6"/>
      <c r="T955" s="6"/>
      <c r="U955" s="6"/>
      <c r="V955" s="6"/>
      <c r="W955" s="6"/>
      <c r="X955" s="6"/>
      <c r="Y955" s="6"/>
    </row>
    <row r="956" ht="31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25"/>
      <c r="Q956" s="6"/>
      <c r="R956" s="6"/>
      <c r="S956" s="6"/>
      <c r="T956" s="6"/>
      <c r="U956" s="6"/>
      <c r="V956" s="6"/>
      <c r="W956" s="6"/>
      <c r="X956" s="6"/>
      <c r="Y956" s="6"/>
    </row>
    <row r="957" ht="31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25"/>
      <c r="Q957" s="6"/>
      <c r="R957" s="6"/>
      <c r="S957" s="6"/>
      <c r="T957" s="6"/>
      <c r="U957" s="6"/>
      <c r="V957" s="6"/>
      <c r="W957" s="6"/>
      <c r="X957" s="6"/>
      <c r="Y957" s="6"/>
    </row>
    <row r="958" ht="31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25"/>
      <c r="Q958" s="6"/>
      <c r="R958" s="6"/>
      <c r="S958" s="6"/>
      <c r="T958" s="6"/>
      <c r="U958" s="6"/>
      <c r="V958" s="6"/>
      <c r="W958" s="6"/>
      <c r="X958" s="6"/>
      <c r="Y958" s="6"/>
    </row>
    <row r="959" ht="31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25"/>
      <c r="Q959" s="6"/>
      <c r="R959" s="6"/>
      <c r="S959" s="6"/>
      <c r="T959" s="6"/>
      <c r="U959" s="6"/>
      <c r="V959" s="6"/>
      <c r="W959" s="6"/>
      <c r="X959" s="6"/>
      <c r="Y959" s="6"/>
    </row>
    <row r="960" ht="31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25"/>
      <c r="Q960" s="6"/>
      <c r="R960" s="6"/>
      <c r="S960" s="6"/>
      <c r="T960" s="6"/>
      <c r="U960" s="6"/>
      <c r="V960" s="6"/>
      <c r="W960" s="6"/>
      <c r="X960" s="6"/>
      <c r="Y960" s="6"/>
    </row>
    <row r="961" ht="31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25"/>
      <c r="Q961" s="6"/>
      <c r="R961" s="6"/>
      <c r="S961" s="6"/>
      <c r="T961" s="6"/>
      <c r="U961" s="6"/>
      <c r="V961" s="6"/>
      <c r="W961" s="6"/>
      <c r="X961" s="6"/>
      <c r="Y961" s="6"/>
    </row>
    <row r="962" ht="31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25"/>
      <c r="Q962" s="6"/>
      <c r="R962" s="6"/>
      <c r="S962" s="6"/>
      <c r="T962" s="6"/>
      <c r="U962" s="6"/>
      <c r="V962" s="6"/>
      <c r="W962" s="6"/>
      <c r="X962" s="6"/>
      <c r="Y962" s="6"/>
    </row>
    <row r="963" ht="31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25"/>
      <c r="Q963" s="6"/>
      <c r="R963" s="6"/>
      <c r="S963" s="6"/>
      <c r="T963" s="6"/>
      <c r="U963" s="6"/>
      <c r="V963" s="6"/>
      <c r="W963" s="6"/>
      <c r="X963" s="6"/>
      <c r="Y963" s="6"/>
    </row>
    <row r="964" ht="31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25"/>
      <c r="Q964" s="6"/>
      <c r="R964" s="6"/>
      <c r="S964" s="6"/>
      <c r="T964" s="6"/>
      <c r="U964" s="6"/>
      <c r="V964" s="6"/>
      <c r="W964" s="6"/>
      <c r="X964" s="6"/>
      <c r="Y964" s="6"/>
    </row>
    <row r="965" ht="31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25"/>
      <c r="Q965" s="6"/>
      <c r="R965" s="6"/>
      <c r="S965" s="6"/>
      <c r="T965" s="6"/>
      <c r="U965" s="6"/>
      <c r="V965" s="6"/>
      <c r="W965" s="6"/>
      <c r="X965" s="6"/>
      <c r="Y965" s="6"/>
    </row>
    <row r="966" ht="31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25"/>
      <c r="Q966" s="6"/>
      <c r="R966" s="6"/>
      <c r="S966" s="6"/>
      <c r="T966" s="6"/>
      <c r="U966" s="6"/>
      <c r="V966" s="6"/>
      <c r="W966" s="6"/>
      <c r="X966" s="6"/>
      <c r="Y966" s="6"/>
    </row>
    <row r="967" ht="31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25"/>
      <c r="Q967" s="6"/>
      <c r="R967" s="6"/>
      <c r="S967" s="6"/>
      <c r="T967" s="6"/>
      <c r="U967" s="6"/>
      <c r="V967" s="6"/>
      <c r="W967" s="6"/>
      <c r="X967" s="6"/>
      <c r="Y967" s="6"/>
    </row>
    <row r="968" ht="31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25"/>
      <c r="Q968" s="6"/>
      <c r="R968" s="6"/>
      <c r="S968" s="6"/>
      <c r="T968" s="6"/>
      <c r="U968" s="6"/>
      <c r="V968" s="6"/>
      <c r="W968" s="6"/>
      <c r="X968" s="6"/>
      <c r="Y968" s="6"/>
    </row>
    <row r="969" ht="31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25"/>
      <c r="Q969" s="6"/>
      <c r="R969" s="6"/>
      <c r="S969" s="6"/>
      <c r="T969" s="6"/>
      <c r="U969" s="6"/>
      <c r="V969" s="6"/>
      <c r="W969" s="6"/>
      <c r="X969" s="6"/>
      <c r="Y969" s="6"/>
    </row>
    <row r="970" ht="31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25"/>
      <c r="Q970" s="6"/>
      <c r="R970" s="6"/>
      <c r="S970" s="6"/>
      <c r="T970" s="6"/>
      <c r="U970" s="6"/>
      <c r="V970" s="6"/>
      <c r="W970" s="6"/>
      <c r="X970" s="6"/>
      <c r="Y970" s="6"/>
    </row>
    <row r="971" ht="31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25"/>
      <c r="Q971" s="6"/>
      <c r="R971" s="6"/>
      <c r="S971" s="6"/>
      <c r="T971" s="6"/>
      <c r="U971" s="6"/>
      <c r="V971" s="6"/>
      <c r="W971" s="6"/>
      <c r="X971" s="6"/>
      <c r="Y971" s="6"/>
    </row>
    <row r="972" ht="31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25"/>
      <c r="Q972" s="6"/>
      <c r="R972" s="6"/>
      <c r="S972" s="6"/>
      <c r="T972" s="6"/>
      <c r="U972" s="6"/>
      <c r="V972" s="6"/>
      <c r="W972" s="6"/>
      <c r="X972" s="6"/>
      <c r="Y972" s="6"/>
    </row>
    <row r="973" ht="31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25"/>
      <c r="Q973" s="6"/>
      <c r="R973" s="6"/>
      <c r="S973" s="6"/>
      <c r="T973" s="6"/>
      <c r="U973" s="6"/>
      <c r="V973" s="6"/>
      <c r="W973" s="6"/>
      <c r="X973" s="6"/>
      <c r="Y973" s="6"/>
    </row>
    <row r="974" ht="31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25"/>
      <c r="Q974" s="6"/>
      <c r="R974" s="6"/>
      <c r="S974" s="6"/>
      <c r="T974" s="6"/>
      <c r="U974" s="6"/>
      <c r="V974" s="6"/>
      <c r="W974" s="6"/>
      <c r="X974" s="6"/>
      <c r="Y974" s="6"/>
    </row>
    <row r="975" ht="31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25"/>
      <c r="Q975" s="6"/>
      <c r="R975" s="6"/>
      <c r="S975" s="6"/>
      <c r="T975" s="6"/>
      <c r="U975" s="6"/>
      <c r="V975" s="6"/>
      <c r="W975" s="6"/>
      <c r="X975" s="6"/>
      <c r="Y975" s="6"/>
    </row>
    <row r="976" ht="31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25"/>
      <c r="Q976" s="6"/>
      <c r="R976" s="6"/>
      <c r="S976" s="6"/>
      <c r="T976" s="6"/>
      <c r="U976" s="6"/>
      <c r="V976" s="6"/>
      <c r="W976" s="6"/>
      <c r="X976" s="6"/>
      <c r="Y976" s="6"/>
    </row>
    <row r="977" ht="31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25"/>
      <c r="Q977" s="6"/>
      <c r="R977" s="6"/>
      <c r="S977" s="6"/>
      <c r="T977" s="6"/>
      <c r="U977" s="6"/>
      <c r="V977" s="6"/>
      <c r="W977" s="6"/>
      <c r="X977" s="6"/>
      <c r="Y977" s="6"/>
    </row>
    <row r="978" ht="31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25"/>
      <c r="Q978" s="6"/>
      <c r="R978" s="6"/>
      <c r="S978" s="6"/>
      <c r="T978" s="6"/>
      <c r="U978" s="6"/>
      <c r="V978" s="6"/>
      <c r="W978" s="6"/>
      <c r="X978" s="6"/>
      <c r="Y978" s="6"/>
    </row>
    <row r="979" ht="31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25"/>
      <c r="Q979" s="6"/>
      <c r="R979" s="6"/>
      <c r="S979" s="6"/>
      <c r="T979" s="6"/>
      <c r="U979" s="6"/>
      <c r="V979" s="6"/>
      <c r="W979" s="6"/>
      <c r="X979" s="6"/>
      <c r="Y979" s="6"/>
    </row>
    <row r="980" ht="31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25"/>
      <c r="Q980" s="6"/>
      <c r="R980" s="6"/>
      <c r="S980" s="6"/>
      <c r="T980" s="6"/>
      <c r="U980" s="6"/>
      <c r="V980" s="6"/>
      <c r="W980" s="6"/>
      <c r="X980" s="6"/>
      <c r="Y980" s="6"/>
    </row>
    <row r="981" ht="31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25"/>
      <c r="Q981" s="6"/>
      <c r="R981" s="6"/>
      <c r="S981" s="6"/>
      <c r="T981" s="6"/>
      <c r="U981" s="6"/>
      <c r="V981" s="6"/>
      <c r="W981" s="6"/>
      <c r="X981" s="6"/>
      <c r="Y981" s="6"/>
    </row>
    <row r="982" ht="31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25"/>
      <c r="Q982" s="6"/>
      <c r="R982" s="6"/>
      <c r="S982" s="6"/>
      <c r="T982" s="6"/>
      <c r="U982" s="6"/>
      <c r="V982" s="6"/>
      <c r="W982" s="6"/>
      <c r="X982" s="6"/>
      <c r="Y982" s="6"/>
    </row>
    <row r="983" ht="31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25"/>
      <c r="Q983" s="6"/>
      <c r="R983" s="6"/>
      <c r="S983" s="6"/>
      <c r="T983" s="6"/>
      <c r="U983" s="6"/>
      <c r="V983" s="6"/>
      <c r="W983" s="6"/>
      <c r="X983" s="6"/>
      <c r="Y983" s="6"/>
    </row>
    <row r="984" ht="31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25"/>
      <c r="Q984" s="6"/>
      <c r="R984" s="6"/>
      <c r="S984" s="6"/>
      <c r="T984" s="6"/>
      <c r="U984" s="6"/>
      <c r="V984" s="6"/>
      <c r="W984" s="6"/>
      <c r="X984" s="6"/>
      <c r="Y984" s="6"/>
    </row>
    <row r="985" ht="31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25"/>
      <c r="Q985" s="6"/>
      <c r="R985" s="6"/>
      <c r="S985" s="6"/>
      <c r="T985" s="6"/>
      <c r="U985" s="6"/>
      <c r="V985" s="6"/>
      <c r="W985" s="6"/>
      <c r="X985" s="6"/>
      <c r="Y985" s="6"/>
    </row>
    <row r="986" ht="31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25"/>
      <c r="Q986" s="6"/>
      <c r="R986" s="6"/>
      <c r="S986" s="6"/>
      <c r="T986" s="6"/>
      <c r="U986" s="6"/>
      <c r="V986" s="6"/>
      <c r="W986" s="6"/>
      <c r="X986" s="6"/>
      <c r="Y986" s="6"/>
    </row>
    <row r="987" ht="31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25"/>
      <c r="Q987" s="6"/>
      <c r="R987" s="6"/>
      <c r="S987" s="6"/>
      <c r="T987" s="6"/>
      <c r="U987" s="6"/>
      <c r="V987" s="6"/>
      <c r="W987" s="6"/>
      <c r="X987" s="6"/>
      <c r="Y987" s="6"/>
    </row>
    <row r="988" ht="31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25"/>
      <c r="Q988" s="6"/>
      <c r="R988" s="6"/>
      <c r="S988" s="6"/>
      <c r="T988" s="6"/>
      <c r="U988" s="6"/>
      <c r="V988" s="6"/>
      <c r="W988" s="6"/>
      <c r="X988" s="6"/>
      <c r="Y988" s="6"/>
    </row>
    <row r="989" ht="31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25"/>
      <c r="Q989" s="6"/>
      <c r="R989" s="6"/>
      <c r="S989" s="6"/>
      <c r="T989" s="6"/>
      <c r="U989" s="6"/>
      <c r="V989" s="6"/>
      <c r="W989" s="6"/>
      <c r="X989" s="6"/>
      <c r="Y989" s="6"/>
    </row>
    <row r="990" ht="31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25"/>
      <c r="Q990" s="6"/>
      <c r="R990" s="6"/>
      <c r="S990" s="6"/>
      <c r="T990" s="6"/>
      <c r="U990" s="6"/>
      <c r="V990" s="6"/>
      <c r="W990" s="6"/>
      <c r="X990" s="6"/>
      <c r="Y990" s="6"/>
    </row>
    <row r="991" ht="31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25"/>
      <c r="Q991" s="6"/>
      <c r="R991" s="6"/>
      <c r="S991" s="6"/>
      <c r="T991" s="6"/>
      <c r="U991" s="6"/>
      <c r="V991" s="6"/>
      <c r="W991" s="6"/>
      <c r="X991" s="6"/>
      <c r="Y991" s="6"/>
    </row>
    <row r="992" ht="31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25"/>
      <c r="Q992" s="6"/>
      <c r="R992" s="6"/>
      <c r="S992" s="6"/>
      <c r="T992" s="6"/>
      <c r="U992" s="6"/>
      <c r="V992" s="6"/>
      <c r="W992" s="6"/>
      <c r="X992" s="6"/>
      <c r="Y992" s="6"/>
    </row>
    <row r="993" ht="31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25"/>
      <c r="Q993" s="6"/>
      <c r="R993" s="6"/>
      <c r="S993" s="6"/>
      <c r="T993" s="6"/>
      <c r="U993" s="6"/>
      <c r="V993" s="6"/>
      <c r="W993" s="6"/>
      <c r="X993" s="6"/>
      <c r="Y993" s="6"/>
    </row>
    <row r="994" ht="31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25"/>
      <c r="Q994" s="6"/>
      <c r="R994" s="6"/>
      <c r="S994" s="6"/>
      <c r="T994" s="6"/>
      <c r="U994" s="6"/>
      <c r="V994" s="6"/>
      <c r="W994" s="6"/>
      <c r="X994" s="6"/>
      <c r="Y994" s="6"/>
    </row>
    <row r="995" ht="31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25"/>
      <c r="Q995" s="6"/>
      <c r="R995" s="6"/>
      <c r="S995" s="6"/>
      <c r="T995" s="6"/>
      <c r="U995" s="6"/>
      <c r="V995" s="6"/>
      <c r="W995" s="6"/>
      <c r="X995" s="6"/>
      <c r="Y995" s="6"/>
    </row>
    <row r="996" ht="31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25"/>
      <c r="Q996" s="6"/>
      <c r="R996" s="6"/>
      <c r="S996" s="6"/>
      <c r="T996" s="6"/>
      <c r="U996" s="6"/>
      <c r="V996" s="6"/>
      <c r="W996" s="6"/>
      <c r="X996" s="6"/>
      <c r="Y996" s="6"/>
    </row>
    <row r="997" ht="31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25"/>
      <c r="Q997" s="6"/>
      <c r="R997" s="6"/>
      <c r="S997" s="6"/>
      <c r="T997" s="6"/>
      <c r="U997" s="6"/>
      <c r="V997" s="6"/>
      <c r="W997" s="6"/>
      <c r="X997" s="6"/>
      <c r="Y997" s="6"/>
    </row>
    <row r="998" ht="31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25"/>
      <c r="Q998" s="6"/>
      <c r="R998" s="6"/>
      <c r="S998" s="6"/>
      <c r="T998" s="6"/>
      <c r="U998" s="6"/>
      <c r="V998" s="6"/>
      <c r="W998" s="6"/>
      <c r="X998" s="6"/>
      <c r="Y998" s="6"/>
    </row>
  </sheetData>
  <mergeCells count="16">
    <mergeCell ref="A1:A2"/>
    <mergeCell ref="B1:B2"/>
    <mergeCell ref="C1:C2"/>
    <mergeCell ref="D1:D2"/>
    <mergeCell ref="E1:E2"/>
    <mergeCell ref="F1:F2"/>
    <mergeCell ref="G1:G2"/>
    <mergeCell ref="Q1:Q2"/>
    <mergeCell ref="R1:R2"/>
    <mergeCell ref="H1:H2"/>
    <mergeCell ref="I1:I2"/>
    <mergeCell ref="J1:J2"/>
    <mergeCell ref="K1:L1"/>
    <mergeCell ref="M1:N1"/>
    <mergeCell ref="O1:O2"/>
    <mergeCell ref="P1:P2"/>
  </mergeCells>
  <drawing r:id="rId1"/>
</worksheet>
</file>